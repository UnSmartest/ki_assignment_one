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NA\OneDrive\Desktop\UltimateLibrary\University\Semester_5\modelling and simulation\assignment\Activity5\"/>
    </mc:Choice>
  </mc:AlternateContent>
  <xr:revisionPtr revIDLastSave="0" documentId="13_ncr:1_{9421F0BA-3E1E-43EA-A5FB-E695F7A8746F}" xr6:coauthVersionLast="47" xr6:coauthVersionMax="47" xr10:uidLastSave="{00000000-0000-0000-0000-000000000000}"/>
  <bookViews>
    <workbookView xWindow="-108" yWindow="-108" windowWidth="23256" windowHeight="12456" activeTab="1" xr2:uid="{AF3D6D2B-7793-4289-A374-17A9421921F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3" l="1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7" i="3"/>
  <c r="F7" i="3"/>
  <c r="F8" i="3" s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7" i="1"/>
  <c r="G8" i="3" l="1"/>
  <c r="F9" i="3"/>
  <c r="G7" i="3"/>
  <c r="G8" i="1"/>
  <c r="G7" i="1"/>
  <c r="F10" i="3" l="1"/>
  <c r="G9" i="3"/>
  <c r="G9" i="1"/>
  <c r="G10" i="3" l="1"/>
  <c r="F11" i="3"/>
  <c r="G10" i="1"/>
  <c r="F12" i="3" l="1"/>
  <c r="G11" i="3"/>
  <c r="G11" i="1"/>
  <c r="G12" i="3" l="1"/>
  <c r="F13" i="3"/>
  <c r="G12" i="1"/>
  <c r="F14" i="3" l="1"/>
  <c r="G13" i="3"/>
  <c r="G13" i="1"/>
  <c r="F15" i="3" l="1"/>
  <c r="G14" i="3"/>
  <c r="G14" i="1"/>
  <c r="F16" i="3" l="1"/>
  <c r="G15" i="3"/>
  <c r="G15" i="1"/>
  <c r="F17" i="3" l="1"/>
  <c r="G16" i="3"/>
  <c r="G16" i="1"/>
  <c r="F18" i="3" l="1"/>
  <c r="G17" i="3"/>
  <c r="F21" i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G17" i="1"/>
  <c r="F19" i="3" l="1"/>
  <c r="G18" i="3"/>
  <c r="F20" i="3" l="1"/>
  <c r="G19" i="3"/>
  <c r="G20" i="3" l="1"/>
  <c r="F21" i="3"/>
  <c r="F22" i="3" l="1"/>
  <c r="G21" i="3"/>
  <c r="F23" i="3" l="1"/>
  <c r="G22" i="3"/>
  <c r="G23" i="3" l="1"/>
  <c r="F24" i="3"/>
  <c r="G24" i="3" l="1"/>
  <c r="F25" i="3"/>
  <c r="F26" i="3" l="1"/>
  <c r="G25" i="3"/>
  <c r="G26" i="3" l="1"/>
  <c r="F27" i="3"/>
  <c r="F28" i="3" l="1"/>
  <c r="G27" i="3"/>
  <c r="G28" i="3" l="1"/>
  <c r="F29" i="3"/>
  <c r="G29" i="3" l="1"/>
  <c r="F30" i="3"/>
  <c r="G30" i="3" l="1"/>
  <c r="F31" i="3"/>
  <c r="G31" i="3" l="1"/>
  <c r="F32" i="3"/>
  <c r="F33" i="3" l="1"/>
  <c r="G32" i="3"/>
  <c r="F34" i="3" l="1"/>
  <c r="G33" i="3"/>
  <c r="F35" i="3" l="1"/>
  <c r="G34" i="3"/>
  <c r="F36" i="3" l="1"/>
  <c r="G35" i="3"/>
  <c r="G36" i="3" l="1"/>
  <c r="F37" i="3"/>
  <c r="F38" i="3" l="1"/>
  <c r="G37" i="3"/>
  <c r="G38" i="3" l="1"/>
  <c r="F39" i="3"/>
  <c r="F40" i="3" l="1"/>
  <c r="G39" i="3"/>
  <c r="G40" i="3" l="1"/>
  <c r="F41" i="3"/>
  <c r="F42" i="3" l="1"/>
  <c r="G41" i="3"/>
  <c r="G42" i="3" l="1"/>
  <c r="F43" i="3"/>
  <c r="F44" i="3" l="1"/>
  <c r="G43" i="3"/>
  <c r="G44" i="3" l="1"/>
  <c r="F45" i="3"/>
  <c r="G45" i="3" l="1"/>
  <c r="F46" i="3"/>
  <c r="F47" i="3" l="1"/>
  <c r="G46" i="3"/>
  <c r="F48" i="3" l="1"/>
  <c r="G47" i="3"/>
  <c r="F49" i="3" l="1"/>
  <c r="G48" i="3"/>
  <c r="F50" i="3" l="1"/>
  <c r="G49" i="3"/>
  <c r="G50" i="3" l="1"/>
  <c r="F51" i="3"/>
  <c r="F52" i="3" l="1"/>
  <c r="G51" i="3"/>
  <c r="G52" i="3" l="1"/>
  <c r="F53" i="3"/>
  <c r="F54" i="3" l="1"/>
  <c r="G53" i="3"/>
  <c r="G54" i="3" l="1"/>
  <c r="F55" i="3"/>
  <c r="G55" i="3" l="1"/>
  <c r="F56" i="3"/>
  <c r="F57" i="3" l="1"/>
  <c r="G56" i="3"/>
  <c r="F58" i="3" l="1"/>
  <c r="G57" i="3"/>
  <c r="F59" i="3" l="1"/>
  <c r="G58" i="3"/>
  <c r="F60" i="3" l="1"/>
  <c r="G59" i="3"/>
  <c r="G60" i="3" l="1"/>
  <c r="F61" i="3"/>
  <c r="F62" i="3" l="1"/>
  <c r="G61" i="3"/>
  <c r="G62" i="3" l="1"/>
  <c r="F63" i="3"/>
  <c r="F64" i="3" l="1"/>
  <c r="G63" i="3"/>
  <c r="G64" i="3" l="1"/>
  <c r="F65" i="3"/>
  <c r="F66" i="3" l="1"/>
  <c r="G65" i="3"/>
  <c r="F67" i="3" l="1"/>
  <c r="G66" i="3"/>
  <c r="F68" i="3" l="1"/>
  <c r="G67" i="3"/>
  <c r="G68" i="3" l="1"/>
  <c r="F69" i="3"/>
  <c r="G69" i="3" l="1"/>
  <c r="F70" i="3"/>
  <c r="G70" i="3" l="1"/>
  <c r="F71" i="3"/>
  <c r="F72" i="3" l="1"/>
  <c r="G71" i="3"/>
  <c r="F73" i="3" l="1"/>
  <c r="G72" i="3"/>
  <c r="F74" i="3" l="1"/>
  <c r="G73" i="3"/>
  <c r="F75" i="3" l="1"/>
  <c r="G74" i="3"/>
  <c r="F76" i="3" l="1"/>
  <c r="G75" i="3"/>
  <c r="G76" i="3" l="1"/>
  <c r="F77" i="3"/>
  <c r="F78" i="3" l="1"/>
  <c r="G77" i="3"/>
  <c r="F79" i="3" l="1"/>
  <c r="G78" i="3"/>
  <c r="F80" i="3" l="1"/>
  <c r="G79" i="3"/>
  <c r="G80" i="3" l="1"/>
  <c r="F81" i="3"/>
  <c r="F82" i="3" l="1"/>
  <c r="G81" i="3"/>
  <c r="F83" i="3" l="1"/>
  <c r="G82" i="3"/>
  <c r="F84" i="3" l="1"/>
  <c r="G83" i="3"/>
  <c r="G84" i="3" l="1"/>
  <c r="F85" i="3"/>
  <c r="F86" i="3" l="1"/>
  <c r="G85" i="3"/>
  <c r="F87" i="3" l="1"/>
  <c r="G86" i="3"/>
  <c r="G87" i="3" l="1"/>
  <c r="F88" i="3"/>
  <c r="F89" i="3" l="1"/>
  <c r="G88" i="3"/>
  <c r="F90" i="3" l="1"/>
  <c r="G89" i="3"/>
  <c r="F91" i="3" l="1"/>
  <c r="G90" i="3"/>
  <c r="F92" i="3" l="1"/>
  <c r="G91" i="3"/>
  <c r="G92" i="3" l="1"/>
  <c r="F93" i="3"/>
  <c r="F94" i="3" l="1"/>
  <c r="G93" i="3"/>
  <c r="G94" i="3" l="1"/>
  <c r="F95" i="3"/>
  <c r="F96" i="3" l="1"/>
  <c r="G95" i="3"/>
  <c r="G96" i="3" l="1"/>
  <c r="F97" i="3"/>
  <c r="F98" i="3" l="1"/>
  <c r="G97" i="3"/>
  <c r="F99" i="3" l="1"/>
  <c r="G98" i="3"/>
  <c r="F100" i="3" l="1"/>
  <c r="G99" i="3"/>
  <c r="G100" i="3" l="1"/>
  <c r="F101" i="3"/>
  <c r="F102" i="3" l="1"/>
  <c r="G101" i="3"/>
  <c r="G102" i="3" l="1"/>
  <c r="F103" i="3"/>
  <c r="G103" i="3" l="1"/>
  <c r="F104" i="3"/>
  <c r="F105" i="3" l="1"/>
  <c r="G104" i="3"/>
  <c r="F106" i="3" l="1"/>
  <c r="G105" i="3"/>
  <c r="F107" i="3" l="1"/>
  <c r="G106" i="3"/>
  <c r="F108" i="3" l="1"/>
  <c r="G107" i="3"/>
  <c r="G108" i="3" l="1"/>
  <c r="F109" i="3"/>
  <c r="G109" i="3" l="1"/>
  <c r="F110" i="3"/>
  <c r="F111" i="3" l="1"/>
  <c r="G110" i="3"/>
  <c r="G111" i="3" l="1"/>
  <c r="F112" i="3"/>
  <c r="G112" i="3" l="1"/>
  <c r="F113" i="3"/>
  <c r="F114" i="3" l="1"/>
  <c r="G113" i="3"/>
  <c r="F115" i="3" l="1"/>
  <c r="G114" i="3"/>
  <c r="F116" i="3" l="1"/>
  <c r="G115" i="3"/>
  <c r="G116" i="3" l="1"/>
  <c r="F117" i="3"/>
  <c r="F118" i="3" l="1"/>
  <c r="G117" i="3"/>
  <c r="G118" i="3" l="1"/>
  <c r="F119" i="3"/>
  <c r="F120" i="3" l="1"/>
  <c r="G119" i="3"/>
  <c r="F121" i="3" l="1"/>
  <c r="G120" i="3"/>
  <c r="F122" i="3" l="1"/>
  <c r="G121" i="3"/>
  <c r="F123" i="3" l="1"/>
  <c r="G122" i="3"/>
  <c r="F124" i="3" l="1"/>
  <c r="G123" i="3"/>
  <c r="G124" i="3" l="1"/>
  <c r="F125" i="3"/>
  <c r="F126" i="3" l="1"/>
  <c r="G125" i="3"/>
  <c r="G126" i="3" l="1"/>
  <c r="F127" i="3"/>
  <c r="F128" i="3" l="1"/>
  <c r="G127" i="3"/>
  <c r="G128" i="3" l="1"/>
  <c r="F129" i="3"/>
  <c r="F130" i="3" l="1"/>
  <c r="G129" i="3"/>
  <c r="F131" i="3" l="1"/>
  <c r="G130" i="3"/>
  <c r="F132" i="3" l="1"/>
  <c r="G131" i="3"/>
  <c r="G132" i="3" l="1"/>
  <c r="F133" i="3"/>
  <c r="F134" i="3" l="1"/>
  <c r="G133" i="3"/>
  <c r="F135" i="3" l="1"/>
  <c r="G134" i="3"/>
  <c r="F136" i="3" l="1"/>
  <c r="G135" i="3"/>
  <c r="F137" i="3" l="1"/>
  <c r="G136" i="3"/>
  <c r="F138" i="3" l="1"/>
  <c r="G137" i="3"/>
  <c r="F139" i="3" l="1"/>
  <c r="G138" i="3"/>
  <c r="F140" i="3" l="1"/>
  <c r="G139" i="3"/>
  <c r="G140" i="3" l="1"/>
  <c r="F141" i="3"/>
  <c r="F142" i="3" l="1"/>
  <c r="G141" i="3"/>
  <c r="G142" i="3" l="1"/>
  <c r="F143" i="3"/>
  <c r="F144" i="3" l="1"/>
  <c r="G143" i="3"/>
  <c r="F145" i="3" l="1"/>
  <c r="G144" i="3"/>
  <c r="F146" i="3" l="1"/>
  <c r="G145" i="3"/>
  <c r="F147" i="3" l="1"/>
  <c r="G146" i="3"/>
  <c r="F148" i="3" l="1"/>
  <c r="G147" i="3"/>
  <c r="G148" i="3" l="1"/>
  <c r="F149" i="3"/>
  <c r="F150" i="3" l="1"/>
  <c r="G149" i="3"/>
  <c r="F151" i="3" l="1"/>
  <c r="G150" i="3"/>
  <c r="F152" i="3" l="1"/>
  <c r="G151" i="3"/>
  <c r="G152" i="3" l="1"/>
  <c r="F153" i="3"/>
  <c r="F154" i="3" l="1"/>
  <c r="G153" i="3"/>
  <c r="F155" i="3" l="1"/>
  <c r="G154" i="3"/>
  <c r="F156" i="3" l="1"/>
  <c r="G156" i="3" s="1"/>
  <c r="G155" i="3"/>
</calcChain>
</file>

<file path=xl/sharedStrings.xml><?xml version="1.0" encoding="utf-8"?>
<sst xmlns="http://schemas.openxmlformats.org/spreadsheetml/2006/main" count="62" uniqueCount="42">
  <si>
    <t>Name</t>
  </si>
  <si>
    <t>Student ID</t>
  </si>
  <si>
    <t>Presence</t>
  </si>
  <si>
    <t>Not Present</t>
  </si>
  <si>
    <t>Present</t>
  </si>
  <si>
    <t>Bisma</t>
  </si>
  <si>
    <t>Krisna</t>
  </si>
  <si>
    <t>Dewey</t>
  </si>
  <si>
    <t>a</t>
  </si>
  <si>
    <t>c</t>
  </si>
  <si>
    <t>m</t>
  </si>
  <si>
    <t>Values</t>
  </si>
  <si>
    <t>&lt;---- Insert your values here</t>
  </si>
  <si>
    <t>Iteration</t>
  </si>
  <si>
    <t>X0</t>
  </si>
  <si>
    <t>Formula : Xi+1 = (aXi + c) mod m</t>
  </si>
  <si>
    <t>Random Number</t>
  </si>
  <si>
    <t>Note :</t>
  </si>
  <si>
    <t>a and c are not factors of m</t>
  </si>
  <si>
    <t xml:space="preserve">Challenge : </t>
  </si>
  <si>
    <t>What are the values of "a" and "c" when m is "150"?</t>
  </si>
  <si>
    <t>X0 doesn't affect the cycle length</t>
  </si>
  <si>
    <t>Solution Found :</t>
  </si>
  <si>
    <t>For best practice, use prime numbers for a, c, and m</t>
  </si>
  <si>
    <t>To check if it's valid :</t>
  </si>
  <si>
    <t>1) press Ctrl + H</t>
  </si>
  <si>
    <t>2) In the "Find what:" field, type the value of X0</t>
  </si>
  <si>
    <t>3) Click "Options &lt;&lt;"</t>
  </si>
  <si>
    <t>4) Check "Match case" and "Match entire cell contents"</t>
  </si>
  <si>
    <t>5) See if the value of X0 can be found in the random number iterations</t>
  </si>
  <si>
    <t>Uniform Distribution</t>
  </si>
  <si>
    <t>Exponential Distribution</t>
  </si>
  <si>
    <t>b</t>
  </si>
  <si>
    <t>Normalized RNG</t>
  </si>
  <si>
    <t>Notes :</t>
  </si>
  <si>
    <t xml:space="preserve">Uniform distribution formula : </t>
  </si>
  <si>
    <t>Xi = Ri(b-a) + a</t>
  </si>
  <si>
    <t>Let's say the range is [0,2]</t>
  </si>
  <si>
    <t>Meaning, a is 0 and b is 2</t>
  </si>
  <si>
    <t xml:space="preserve">Exponential distribution formula : </t>
  </si>
  <si>
    <t>Xi = -ln(1-Ri)</t>
  </si>
  <si>
    <t>LCM RNG Formula : Xi+1 = (aXi + c) mod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</si>
</sst>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9CD0-720B-4D7B-96B0-D657955DAA30}">
  <dimension ref="A1:K196"/>
  <sheetViews>
    <sheetView topLeftCell="A136" zoomScale="115" zoomScaleNormal="115" workbookViewId="0">
      <selection activeCell="C152" sqref="A1:XFD1048576"/>
    </sheetView>
  </sheetViews>
  <sheetFormatPr defaultRowHeight="14.4" x14ac:dyDescent="0.3"/>
  <cols>
    <col min="1" max="1" width="11.44140625" customWidth="1"/>
    <col min="2" max="2" width="19" customWidth="1"/>
    <col min="3" max="3" width="14.77734375" customWidth="1"/>
    <col min="6" max="6" width="8.88671875" style="1" customWidth="1"/>
    <col min="7" max="7" width="11" customWidth="1"/>
  </cols>
  <sheetData>
    <row r="1" spans="1:11" x14ac:dyDescent="0.3">
      <c r="A1" s="3" t="s">
        <v>0</v>
      </c>
      <c r="B1" s="3" t="s">
        <v>1</v>
      </c>
      <c r="C1" s="3" t="s">
        <v>2</v>
      </c>
      <c r="E1" s="6" t="s">
        <v>15</v>
      </c>
    </row>
    <row r="2" spans="1:11" x14ac:dyDescent="0.3">
      <c r="A2" s="2" t="s">
        <v>5</v>
      </c>
      <c r="B2" s="2">
        <v>5025241075</v>
      </c>
      <c r="C2" s="2" t="s">
        <v>4</v>
      </c>
      <c r="E2" s="5" t="s">
        <v>11</v>
      </c>
      <c r="F2" s="5"/>
      <c r="G2" s="5"/>
      <c r="H2" s="5"/>
    </row>
    <row r="3" spans="1:11" x14ac:dyDescent="0.3">
      <c r="A3" s="2" t="s">
        <v>7</v>
      </c>
      <c r="B3" s="2">
        <v>5025241012</v>
      </c>
      <c r="C3" s="2" t="s">
        <v>3</v>
      </c>
      <c r="E3" s="2" t="s">
        <v>8</v>
      </c>
      <c r="F3" s="2" t="s">
        <v>14</v>
      </c>
      <c r="G3" s="2" t="s">
        <v>9</v>
      </c>
      <c r="H3" s="2" t="s">
        <v>10</v>
      </c>
    </row>
    <row r="4" spans="1:11" x14ac:dyDescent="0.3">
      <c r="A4" s="2" t="s">
        <v>6</v>
      </c>
      <c r="B4" s="2">
        <v>5025241166</v>
      </c>
      <c r="C4" s="2" t="s">
        <v>4</v>
      </c>
      <c r="E4" s="7">
        <v>7</v>
      </c>
      <c r="F4" s="7">
        <v>3</v>
      </c>
      <c r="G4" s="7">
        <v>11</v>
      </c>
      <c r="H4" s="7">
        <v>151</v>
      </c>
      <c r="I4" s="4" t="s">
        <v>12</v>
      </c>
      <c r="J4" s="4"/>
      <c r="K4" s="4"/>
    </row>
    <row r="6" spans="1:11" ht="28.8" x14ac:dyDescent="0.3">
      <c r="E6" s="1" t="s">
        <v>13</v>
      </c>
      <c r="F6" s="8" t="s">
        <v>16</v>
      </c>
      <c r="G6" s="12" t="s">
        <v>33</v>
      </c>
      <c r="I6" t="s">
        <v>17</v>
      </c>
    </row>
    <row r="7" spans="1:11" x14ac:dyDescent="0.3">
      <c r="E7" s="1">
        <v>1</v>
      </c>
      <c r="F7" s="1">
        <f>MOD((E4*F4+G4),H4)</f>
        <v>32</v>
      </c>
      <c r="G7">
        <f>F7/$H$4</f>
        <v>0.2119205298013245</v>
      </c>
      <c r="I7" t="s">
        <v>21</v>
      </c>
    </row>
    <row r="8" spans="1:11" x14ac:dyDescent="0.3">
      <c r="E8" s="1">
        <v>2</v>
      </c>
      <c r="F8" s="1">
        <f>MOD(($E$4*$F7+$G$4),$H$4)</f>
        <v>84</v>
      </c>
      <c r="G8">
        <f t="shared" ref="G8:G71" si="0">F8/$H$4</f>
        <v>0.55629139072847678</v>
      </c>
      <c r="I8" t="s">
        <v>18</v>
      </c>
    </row>
    <row r="9" spans="1:11" x14ac:dyDescent="0.3">
      <c r="E9" s="1">
        <v>3</v>
      </c>
      <c r="F9" s="1">
        <f t="shared" ref="F9:F72" si="1">MOD(($E$4*$F8+$G$4),$H$4)</f>
        <v>146</v>
      </c>
      <c r="G9">
        <f t="shared" si="0"/>
        <v>0.9668874172185431</v>
      </c>
    </row>
    <row r="10" spans="1:11" x14ac:dyDescent="0.3">
      <c r="E10" s="1">
        <v>4</v>
      </c>
      <c r="F10" s="1">
        <f t="shared" si="1"/>
        <v>127</v>
      </c>
      <c r="G10">
        <f t="shared" si="0"/>
        <v>0.84105960264900659</v>
      </c>
      <c r="I10" t="s">
        <v>19</v>
      </c>
    </row>
    <row r="11" spans="1:11" x14ac:dyDescent="0.3">
      <c r="E11" s="1">
        <v>5</v>
      </c>
      <c r="F11" s="1">
        <f t="shared" si="1"/>
        <v>145</v>
      </c>
      <c r="G11">
        <f t="shared" si="0"/>
        <v>0.96026490066225167</v>
      </c>
      <c r="I11" t="s">
        <v>20</v>
      </c>
    </row>
    <row r="12" spans="1:11" x14ac:dyDescent="0.3">
      <c r="E12" s="1">
        <v>6</v>
      </c>
      <c r="F12" s="1">
        <f t="shared" si="1"/>
        <v>120</v>
      </c>
      <c r="G12">
        <f t="shared" si="0"/>
        <v>0.79470198675496684</v>
      </c>
    </row>
    <row r="13" spans="1:11" x14ac:dyDescent="0.3">
      <c r="E13" s="1">
        <v>7</v>
      </c>
      <c r="F13" s="1">
        <f t="shared" si="1"/>
        <v>96</v>
      </c>
      <c r="G13">
        <f t="shared" si="0"/>
        <v>0.63576158940397354</v>
      </c>
      <c r="I13" t="s">
        <v>22</v>
      </c>
    </row>
    <row r="14" spans="1:11" x14ac:dyDescent="0.3">
      <c r="E14" s="1">
        <v>8</v>
      </c>
      <c r="F14" s="1">
        <f t="shared" si="1"/>
        <v>79</v>
      </c>
      <c r="G14">
        <f t="shared" si="0"/>
        <v>0.52317880794701987</v>
      </c>
      <c r="I14" t="s">
        <v>23</v>
      </c>
    </row>
    <row r="15" spans="1:11" x14ac:dyDescent="0.3">
      <c r="E15" s="1">
        <v>9</v>
      </c>
      <c r="F15" s="1">
        <f t="shared" si="1"/>
        <v>111</v>
      </c>
      <c r="G15">
        <f>F15/$H$4</f>
        <v>0.73509933774834435</v>
      </c>
    </row>
    <row r="16" spans="1:11" x14ac:dyDescent="0.3">
      <c r="E16" s="1">
        <v>10</v>
      </c>
      <c r="F16" s="1">
        <f t="shared" si="1"/>
        <v>33</v>
      </c>
      <c r="G16">
        <f t="shared" si="0"/>
        <v>0.2185430463576159</v>
      </c>
      <c r="I16" t="s">
        <v>24</v>
      </c>
    </row>
    <row r="17" spans="5:9" x14ac:dyDescent="0.3">
      <c r="E17" s="1">
        <v>11</v>
      </c>
      <c r="F17" s="1">
        <f t="shared" si="1"/>
        <v>91</v>
      </c>
      <c r="G17">
        <f t="shared" si="0"/>
        <v>0.60264900662251653</v>
      </c>
      <c r="I17" t="s">
        <v>25</v>
      </c>
    </row>
    <row r="18" spans="5:9" x14ac:dyDescent="0.3">
      <c r="E18" s="1">
        <v>12</v>
      </c>
      <c r="F18" s="1">
        <f t="shared" si="1"/>
        <v>44</v>
      </c>
      <c r="G18">
        <f t="shared" si="0"/>
        <v>0.29139072847682118</v>
      </c>
      <c r="I18" t="s">
        <v>26</v>
      </c>
    </row>
    <row r="19" spans="5:9" x14ac:dyDescent="0.3">
      <c r="E19" s="1">
        <v>13</v>
      </c>
      <c r="F19" s="1">
        <f t="shared" si="1"/>
        <v>17</v>
      </c>
      <c r="G19">
        <f t="shared" si="0"/>
        <v>0.11258278145695365</v>
      </c>
      <c r="I19" t="s">
        <v>27</v>
      </c>
    </row>
    <row r="20" spans="5:9" x14ac:dyDescent="0.3">
      <c r="E20" s="1">
        <v>14</v>
      </c>
      <c r="F20" s="1">
        <f t="shared" si="1"/>
        <v>130</v>
      </c>
      <c r="G20">
        <f t="shared" si="0"/>
        <v>0.86092715231788075</v>
      </c>
      <c r="I20" t="s">
        <v>28</v>
      </c>
    </row>
    <row r="21" spans="5:9" x14ac:dyDescent="0.3">
      <c r="E21" s="1">
        <v>15</v>
      </c>
      <c r="F21" s="1">
        <f t="shared" si="1"/>
        <v>15</v>
      </c>
      <c r="G21">
        <f t="shared" si="0"/>
        <v>9.9337748344370855E-2</v>
      </c>
      <c r="I21" t="s">
        <v>29</v>
      </c>
    </row>
    <row r="22" spans="5:9" x14ac:dyDescent="0.3">
      <c r="E22" s="1">
        <v>16</v>
      </c>
      <c r="F22" s="1">
        <f t="shared" si="1"/>
        <v>116</v>
      </c>
      <c r="G22">
        <f t="shared" si="0"/>
        <v>0.76821192052980136</v>
      </c>
    </row>
    <row r="23" spans="5:9" x14ac:dyDescent="0.3">
      <c r="E23" s="1">
        <v>17</v>
      </c>
      <c r="F23" s="1">
        <f t="shared" si="1"/>
        <v>68</v>
      </c>
      <c r="G23">
        <f t="shared" si="0"/>
        <v>0.45033112582781459</v>
      </c>
    </row>
    <row r="24" spans="5:9" x14ac:dyDescent="0.3">
      <c r="E24" s="1">
        <v>18</v>
      </c>
      <c r="F24" s="1">
        <f t="shared" si="1"/>
        <v>34</v>
      </c>
      <c r="G24">
        <f t="shared" si="0"/>
        <v>0.2251655629139073</v>
      </c>
    </row>
    <row r="25" spans="5:9" x14ac:dyDescent="0.3">
      <c r="E25" s="1">
        <v>19</v>
      </c>
      <c r="F25" s="1">
        <f t="shared" si="1"/>
        <v>98</v>
      </c>
      <c r="G25">
        <f t="shared" si="0"/>
        <v>0.64900662251655628</v>
      </c>
    </row>
    <row r="26" spans="5:9" x14ac:dyDescent="0.3">
      <c r="E26" s="1">
        <v>20</v>
      </c>
      <c r="F26" s="1">
        <f t="shared" si="1"/>
        <v>93</v>
      </c>
      <c r="G26">
        <f t="shared" si="0"/>
        <v>0.61589403973509937</v>
      </c>
    </row>
    <row r="27" spans="5:9" x14ac:dyDescent="0.3">
      <c r="E27" s="1">
        <v>21</v>
      </c>
      <c r="F27" s="1">
        <f t="shared" si="1"/>
        <v>58</v>
      </c>
      <c r="G27">
        <f t="shared" si="0"/>
        <v>0.38410596026490068</v>
      </c>
    </row>
    <row r="28" spans="5:9" x14ac:dyDescent="0.3">
      <c r="E28" s="1">
        <v>22</v>
      </c>
      <c r="F28" s="1">
        <f t="shared" si="1"/>
        <v>115</v>
      </c>
      <c r="G28">
        <f t="shared" si="0"/>
        <v>0.76158940397350994</v>
      </c>
    </row>
    <row r="29" spans="5:9" x14ac:dyDescent="0.3">
      <c r="E29" s="1">
        <v>23</v>
      </c>
      <c r="F29" s="1">
        <f t="shared" si="1"/>
        <v>61</v>
      </c>
      <c r="G29">
        <f t="shared" si="0"/>
        <v>0.40397350993377484</v>
      </c>
    </row>
    <row r="30" spans="5:9" x14ac:dyDescent="0.3">
      <c r="E30" s="1">
        <v>24</v>
      </c>
      <c r="F30" s="1">
        <f t="shared" si="1"/>
        <v>136</v>
      </c>
      <c r="G30">
        <f t="shared" si="0"/>
        <v>0.90066225165562919</v>
      </c>
    </row>
    <row r="31" spans="5:9" x14ac:dyDescent="0.3">
      <c r="E31" s="1">
        <v>25</v>
      </c>
      <c r="F31" s="1">
        <f t="shared" si="1"/>
        <v>57</v>
      </c>
      <c r="G31">
        <f t="shared" si="0"/>
        <v>0.37748344370860926</v>
      </c>
    </row>
    <row r="32" spans="5:9" x14ac:dyDescent="0.3">
      <c r="E32" s="1">
        <v>26</v>
      </c>
      <c r="F32" s="1">
        <f t="shared" si="1"/>
        <v>108</v>
      </c>
      <c r="G32">
        <f t="shared" si="0"/>
        <v>0.71523178807947019</v>
      </c>
    </row>
    <row r="33" spans="5:7" x14ac:dyDescent="0.3">
      <c r="E33" s="1">
        <v>27</v>
      </c>
      <c r="F33" s="1">
        <f t="shared" si="1"/>
        <v>12</v>
      </c>
      <c r="G33">
        <f t="shared" si="0"/>
        <v>7.9470198675496692E-2</v>
      </c>
    </row>
    <row r="34" spans="5:7" x14ac:dyDescent="0.3">
      <c r="E34" s="1">
        <v>28</v>
      </c>
      <c r="F34" s="1">
        <f t="shared" si="1"/>
        <v>95</v>
      </c>
      <c r="G34">
        <f t="shared" si="0"/>
        <v>0.62913907284768211</v>
      </c>
    </row>
    <row r="35" spans="5:7" x14ac:dyDescent="0.3">
      <c r="E35" s="1">
        <v>29</v>
      </c>
      <c r="F35" s="1">
        <f t="shared" si="1"/>
        <v>72</v>
      </c>
      <c r="G35">
        <f t="shared" si="0"/>
        <v>0.47682119205298013</v>
      </c>
    </row>
    <row r="36" spans="5:7" x14ac:dyDescent="0.3">
      <c r="E36" s="1">
        <v>30</v>
      </c>
      <c r="F36" s="1">
        <f t="shared" si="1"/>
        <v>62</v>
      </c>
      <c r="G36">
        <f t="shared" si="0"/>
        <v>0.41059602649006621</v>
      </c>
    </row>
    <row r="37" spans="5:7" x14ac:dyDescent="0.3">
      <c r="E37" s="1">
        <v>31</v>
      </c>
      <c r="F37" s="1">
        <f t="shared" si="1"/>
        <v>143</v>
      </c>
      <c r="G37">
        <f t="shared" si="0"/>
        <v>0.94701986754966883</v>
      </c>
    </row>
    <row r="38" spans="5:7" x14ac:dyDescent="0.3">
      <c r="E38" s="1">
        <v>32</v>
      </c>
      <c r="F38" s="1">
        <f t="shared" si="1"/>
        <v>106</v>
      </c>
      <c r="G38">
        <f t="shared" si="0"/>
        <v>0.70198675496688745</v>
      </c>
    </row>
    <row r="39" spans="5:7" x14ac:dyDescent="0.3">
      <c r="E39" s="1">
        <v>33</v>
      </c>
      <c r="F39" s="1">
        <f t="shared" si="1"/>
        <v>149</v>
      </c>
      <c r="G39">
        <f t="shared" si="0"/>
        <v>0.98675496688741726</v>
      </c>
    </row>
    <row r="40" spans="5:7" x14ac:dyDescent="0.3">
      <c r="E40" s="1">
        <v>34</v>
      </c>
      <c r="F40" s="1">
        <f t="shared" si="1"/>
        <v>148</v>
      </c>
      <c r="G40">
        <f t="shared" si="0"/>
        <v>0.98013245033112584</v>
      </c>
    </row>
    <row r="41" spans="5:7" x14ac:dyDescent="0.3">
      <c r="E41" s="1">
        <v>35</v>
      </c>
      <c r="F41" s="1">
        <f t="shared" si="1"/>
        <v>141</v>
      </c>
      <c r="G41">
        <f t="shared" si="0"/>
        <v>0.93377483443708609</v>
      </c>
    </row>
    <row r="42" spans="5:7" x14ac:dyDescent="0.3">
      <c r="E42" s="1">
        <v>36</v>
      </c>
      <c r="F42" s="1">
        <f t="shared" si="1"/>
        <v>92</v>
      </c>
      <c r="G42">
        <f t="shared" si="0"/>
        <v>0.60927152317880795</v>
      </c>
    </row>
    <row r="43" spans="5:7" x14ac:dyDescent="0.3">
      <c r="E43" s="1">
        <v>37</v>
      </c>
      <c r="F43" s="1">
        <f t="shared" si="1"/>
        <v>51</v>
      </c>
      <c r="G43">
        <f t="shared" si="0"/>
        <v>0.33774834437086093</v>
      </c>
    </row>
    <row r="44" spans="5:7" x14ac:dyDescent="0.3">
      <c r="E44" s="1">
        <v>38</v>
      </c>
      <c r="F44" s="1">
        <f t="shared" si="1"/>
        <v>66</v>
      </c>
      <c r="G44">
        <f t="shared" si="0"/>
        <v>0.4370860927152318</v>
      </c>
    </row>
    <row r="45" spans="5:7" x14ac:dyDescent="0.3">
      <c r="E45" s="1">
        <v>39</v>
      </c>
      <c r="F45" s="1">
        <f t="shared" si="1"/>
        <v>20</v>
      </c>
      <c r="G45">
        <f t="shared" si="0"/>
        <v>0.13245033112582782</v>
      </c>
    </row>
    <row r="46" spans="5:7" x14ac:dyDescent="0.3">
      <c r="E46" s="1">
        <v>40</v>
      </c>
      <c r="F46" s="1">
        <f t="shared" si="1"/>
        <v>0</v>
      </c>
      <c r="G46">
        <f t="shared" si="0"/>
        <v>0</v>
      </c>
    </row>
    <row r="47" spans="5:7" x14ac:dyDescent="0.3">
      <c r="E47" s="1">
        <v>41</v>
      </c>
      <c r="F47" s="1">
        <f t="shared" si="1"/>
        <v>11</v>
      </c>
      <c r="G47">
        <f t="shared" si="0"/>
        <v>7.2847682119205295E-2</v>
      </c>
    </row>
    <row r="48" spans="5:7" x14ac:dyDescent="0.3">
      <c r="E48" s="1">
        <v>42</v>
      </c>
      <c r="F48" s="1">
        <f t="shared" si="1"/>
        <v>88</v>
      </c>
      <c r="G48">
        <f t="shared" si="0"/>
        <v>0.58278145695364236</v>
      </c>
    </row>
    <row r="49" spans="5:7" x14ac:dyDescent="0.3">
      <c r="E49" s="1">
        <v>43</v>
      </c>
      <c r="F49" s="1">
        <f t="shared" si="1"/>
        <v>23</v>
      </c>
      <c r="G49">
        <f t="shared" si="0"/>
        <v>0.15231788079470199</v>
      </c>
    </row>
    <row r="50" spans="5:7" x14ac:dyDescent="0.3">
      <c r="E50" s="1">
        <v>44</v>
      </c>
      <c r="F50" s="1">
        <f t="shared" si="1"/>
        <v>21</v>
      </c>
      <c r="G50">
        <f t="shared" si="0"/>
        <v>0.13907284768211919</v>
      </c>
    </row>
    <row r="51" spans="5:7" x14ac:dyDescent="0.3">
      <c r="E51" s="1">
        <v>45</v>
      </c>
      <c r="F51" s="1">
        <f t="shared" si="1"/>
        <v>7</v>
      </c>
      <c r="G51">
        <f t="shared" si="0"/>
        <v>4.6357615894039736E-2</v>
      </c>
    </row>
    <row r="52" spans="5:7" x14ac:dyDescent="0.3">
      <c r="E52" s="1">
        <v>46</v>
      </c>
      <c r="F52" s="1">
        <f t="shared" si="1"/>
        <v>60</v>
      </c>
      <c r="G52">
        <f t="shared" si="0"/>
        <v>0.39735099337748342</v>
      </c>
    </row>
    <row r="53" spans="5:7" x14ac:dyDescent="0.3">
      <c r="E53" s="1">
        <v>47</v>
      </c>
      <c r="F53" s="1">
        <f t="shared" si="1"/>
        <v>129</v>
      </c>
      <c r="G53">
        <f t="shared" si="0"/>
        <v>0.85430463576158944</v>
      </c>
    </row>
    <row r="54" spans="5:7" x14ac:dyDescent="0.3">
      <c r="E54" s="1">
        <v>48</v>
      </c>
      <c r="F54" s="1">
        <f t="shared" si="1"/>
        <v>8</v>
      </c>
      <c r="G54">
        <f t="shared" si="0"/>
        <v>5.2980132450331126E-2</v>
      </c>
    </row>
    <row r="55" spans="5:7" x14ac:dyDescent="0.3">
      <c r="E55" s="1">
        <v>49</v>
      </c>
      <c r="F55" s="1">
        <f t="shared" si="1"/>
        <v>67</v>
      </c>
      <c r="G55">
        <f t="shared" si="0"/>
        <v>0.44370860927152317</v>
      </c>
    </row>
    <row r="56" spans="5:7" x14ac:dyDescent="0.3">
      <c r="E56" s="1">
        <v>50</v>
      </c>
      <c r="F56" s="1">
        <f t="shared" si="1"/>
        <v>27</v>
      </c>
      <c r="G56">
        <f t="shared" si="0"/>
        <v>0.17880794701986755</v>
      </c>
    </row>
    <row r="57" spans="5:7" x14ac:dyDescent="0.3">
      <c r="E57" s="1">
        <v>51</v>
      </c>
      <c r="F57" s="1">
        <f t="shared" si="1"/>
        <v>49</v>
      </c>
      <c r="G57">
        <f t="shared" si="0"/>
        <v>0.32450331125827814</v>
      </c>
    </row>
    <row r="58" spans="5:7" x14ac:dyDescent="0.3">
      <c r="E58" s="1">
        <v>52</v>
      </c>
      <c r="F58" s="1">
        <f t="shared" si="1"/>
        <v>52</v>
      </c>
      <c r="G58">
        <f t="shared" si="0"/>
        <v>0.3443708609271523</v>
      </c>
    </row>
    <row r="59" spans="5:7" x14ac:dyDescent="0.3">
      <c r="E59" s="1">
        <v>53</v>
      </c>
      <c r="F59" s="1">
        <f t="shared" si="1"/>
        <v>73</v>
      </c>
      <c r="G59">
        <f t="shared" si="0"/>
        <v>0.48344370860927155</v>
      </c>
    </row>
    <row r="60" spans="5:7" x14ac:dyDescent="0.3">
      <c r="E60" s="1">
        <v>54</v>
      </c>
      <c r="F60" s="1">
        <f t="shared" si="1"/>
        <v>69</v>
      </c>
      <c r="G60">
        <f t="shared" si="0"/>
        <v>0.45695364238410596</v>
      </c>
    </row>
    <row r="61" spans="5:7" x14ac:dyDescent="0.3">
      <c r="E61" s="1">
        <v>55</v>
      </c>
      <c r="F61" s="1">
        <f t="shared" si="1"/>
        <v>41</v>
      </c>
      <c r="G61">
        <f t="shared" si="0"/>
        <v>0.27152317880794702</v>
      </c>
    </row>
    <row r="62" spans="5:7" x14ac:dyDescent="0.3">
      <c r="E62" s="1">
        <v>56</v>
      </c>
      <c r="F62" s="1">
        <f t="shared" si="1"/>
        <v>147</v>
      </c>
      <c r="G62">
        <f t="shared" si="0"/>
        <v>0.97350993377483441</v>
      </c>
    </row>
    <row r="63" spans="5:7" x14ac:dyDescent="0.3">
      <c r="E63" s="1">
        <v>57</v>
      </c>
      <c r="F63" s="1">
        <f t="shared" si="1"/>
        <v>134</v>
      </c>
      <c r="G63">
        <f t="shared" si="0"/>
        <v>0.88741721854304634</v>
      </c>
    </row>
    <row r="64" spans="5:7" x14ac:dyDescent="0.3">
      <c r="E64" s="1">
        <v>58</v>
      </c>
      <c r="F64" s="1">
        <f t="shared" si="1"/>
        <v>43</v>
      </c>
      <c r="G64">
        <f t="shared" si="0"/>
        <v>0.28476821192052981</v>
      </c>
    </row>
    <row r="65" spans="5:7" x14ac:dyDescent="0.3">
      <c r="E65" s="1">
        <v>59</v>
      </c>
      <c r="F65" s="1">
        <f t="shared" si="1"/>
        <v>10</v>
      </c>
      <c r="G65">
        <f t="shared" si="0"/>
        <v>6.6225165562913912E-2</v>
      </c>
    </row>
    <row r="66" spans="5:7" x14ac:dyDescent="0.3">
      <c r="E66" s="1">
        <v>60</v>
      </c>
      <c r="F66" s="1">
        <f t="shared" si="1"/>
        <v>81</v>
      </c>
      <c r="G66">
        <f t="shared" si="0"/>
        <v>0.53642384105960261</v>
      </c>
    </row>
    <row r="67" spans="5:7" x14ac:dyDescent="0.3">
      <c r="E67" s="1">
        <v>61</v>
      </c>
      <c r="F67" s="1">
        <f t="shared" si="1"/>
        <v>125</v>
      </c>
      <c r="G67">
        <f t="shared" si="0"/>
        <v>0.82781456953642385</v>
      </c>
    </row>
    <row r="68" spans="5:7" x14ac:dyDescent="0.3">
      <c r="E68" s="1">
        <v>62</v>
      </c>
      <c r="F68" s="1">
        <f t="shared" si="1"/>
        <v>131</v>
      </c>
      <c r="G68">
        <f t="shared" si="0"/>
        <v>0.86754966887417218</v>
      </c>
    </row>
    <row r="69" spans="5:7" x14ac:dyDescent="0.3">
      <c r="E69" s="1">
        <v>63</v>
      </c>
      <c r="F69" s="1">
        <f t="shared" si="1"/>
        <v>22</v>
      </c>
      <c r="G69">
        <f t="shared" si="0"/>
        <v>0.14569536423841059</v>
      </c>
    </row>
    <row r="70" spans="5:7" x14ac:dyDescent="0.3">
      <c r="E70" s="1">
        <v>64</v>
      </c>
      <c r="F70" s="1">
        <f t="shared" si="1"/>
        <v>14</v>
      </c>
      <c r="G70">
        <f t="shared" si="0"/>
        <v>9.2715231788079472E-2</v>
      </c>
    </row>
    <row r="71" spans="5:7" x14ac:dyDescent="0.3">
      <c r="E71" s="1">
        <v>65</v>
      </c>
      <c r="F71" s="1">
        <f t="shared" si="1"/>
        <v>109</v>
      </c>
      <c r="G71">
        <f t="shared" si="0"/>
        <v>0.72185430463576161</v>
      </c>
    </row>
    <row r="72" spans="5:7" x14ac:dyDescent="0.3">
      <c r="E72" s="1">
        <v>66</v>
      </c>
      <c r="F72" s="1">
        <f t="shared" si="1"/>
        <v>19</v>
      </c>
      <c r="G72">
        <f t="shared" ref="G72:G135" si="2">F72/$H$4</f>
        <v>0.12582781456953643</v>
      </c>
    </row>
    <row r="73" spans="5:7" x14ac:dyDescent="0.3">
      <c r="E73" s="1">
        <v>67</v>
      </c>
      <c r="F73" s="1">
        <f t="shared" ref="F73:F136" si="3">MOD(($E$4*$F72+$G$4),$H$4)</f>
        <v>144</v>
      </c>
      <c r="G73">
        <f t="shared" si="2"/>
        <v>0.95364238410596025</v>
      </c>
    </row>
    <row r="74" spans="5:7" x14ac:dyDescent="0.3">
      <c r="E74" s="1">
        <v>68</v>
      </c>
      <c r="F74" s="1">
        <f t="shared" si="3"/>
        <v>113</v>
      </c>
      <c r="G74">
        <f t="shared" si="2"/>
        <v>0.7483443708609272</v>
      </c>
    </row>
    <row r="75" spans="5:7" x14ac:dyDescent="0.3">
      <c r="E75" s="1">
        <v>69</v>
      </c>
      <c r="F75" s="1">
        <f t="shared" si="3"/>
        <v>47</v>
      </c>
      <c r="G75">
        <f t="shared" si="2"/>
        <v>0.31125827814569534</v>
      </c>
    </row>
    <row r="76" spans="5:7" x14ac:dyDescent="0.3">
      <c r="E76" s="1">
        <v>70</v>
      </c>
      <c r="F76" s="1">
        <f t="shared" si="3"/>
        <v>38</v>
      </c>
      <c r="G76">
        <f t="shared" si="2"/>
        <v>0.25165562913907286</v>
      </c>
    </row>
    <row r="77" spans="5:7" x14ac:dyDescent="0.3">
      <c r="E77" s="1">
        <v>71</v>
      </c>
      <c r="F77" s="1">
        <f t="shared" si="3"/>
        <v>126</v>
      </c>
      <c r="G77">
        <f t="shared" si="2"/>
        <v>0.83443708609271527</v>
      </c>
    </row>
    <row r="78" spans="5:7" x14ac:dyDescent="0.3">
      <c r="E78" s="1">
        <v>72</v>
      </c>
      <c r="F78" s="1">
        <f t="shared" si="3"/>
        <v>138</v>
      </c>
      <c r="G78">
        <f t="shared" si="2"/>
        <v>0.91390728476821192</v>
      </c>
    </row>
    <row r="79" spans="5:7" x14ac:dyDescent="0.3">
      <c r="E79" s="1">
        <v>73</v>
      </c>
      <c r="F79" s="1">
        <f t="shared" si="3"/>
        <v>71</v>
      </c>
      <c r="G79">
        <f t="shared" si="2"/>
        <v>0.47019867549668876</v>
      </c>
    </row>
    <row r="80" spans="5:7" x14ac:dyDescent="0.3">
      <c r="E80" s="1">
        <v>74</v>
      </c>
      <c r="F80" s="1">
        <f t="shared" si="3"/>
        <v>55</v>
      </c>
      <c r="G80">
        <f t="shared" si="2"/>
        <v>0.36423841059602646</v>
      </c>
    </row>
    <row r="81" spans="5:7" x14ac:dyDescent="0.3">
      <c r="E81" s="1">
        <v>75</v>
      </c>
      <c r="F81" s="1">
        <f t="shared" si="3"/>
        <v>94</v>
      </c>
      <c r="G81">
        <f t="shared" si="2"/>
        <v>0.62251655629139069</v>
      </c>
    </row>
    <row r="82" spans="5:7" x14ac:dyDescent="0.3">
      <c r="E82" s="1">
        <v>76</v>
      </c>
      <c r="F82" s="1">
        <f t="shared" si="3"/>
        <v>65</v>
      </c>
      <c r="G82">
        <f t="shared" si="2"/>
        <v>0.43046357615894038</v>
      </c>
    </row>
    <row r="83" spans="5:7" x14ac:dyDescent="0.3">
      <c r="E83" s="1">
        <v>77</v>
      </c>
      <c r="F83" s="1">
        <f t="shared" si="3"/>
        <v>13</v>
      </c>
      <c r="G83">
        <f t="shared" si="2"/>
        <v>8.6092715231788075E-2</v>
      </c>
    </row>
    <row r="84" spans="5:7" x14ac:dyDescent="0.3">
      <c r="E84" s="1">
        <v>78</v>
      </c>
      <c r="F84" s="1">
        <f t="shared" si="3"/>
        <v>102</v>
      </c>
      <c r="G84">
        <f t="shared" si="2"/>
        <v>0.67549668874172186</v>
      </c>
    </row>
    <row r="85" spans="5:7" x14ac:dyDescent="0.3">
      <c r="E85" s="1">
        <v>79</v>
      </c>
      <c r="F85" s="1">
        <f t="shared" si="3"/>
        <v>121</v>
      </c>
      <c r="G85">
        <f t="shared" si="2"/>
        <v>0.80132450331125826</v>
      </c>
    </row>
    <row r="86" spans="5:7" x14ac:dyDescent="0.3">
      <c r="E86" s="1">
        <v>80</v>
      </c>
      <c r="F86" s="1">
        <f t="shared" si="3"/>
        <v>103</v>
      </c>
      <c r="G86">
        <f t="shared" si="2"/>
        <v>0.68211920529801329</v>
      </c>
    </row>
    <row r="87" spans="5:7" x14ac:dyDescent="0.3">
      <c r="E87" s="1">
        <v>81</v>
      </c>
      <c r="F87" s="1">
        <f t="shared" si="3"/>
        <v>128</v>
      </c>
      <c r="G87">
        <f t="shared" si="2"/>
        <v>0.84768211920529801</v>
      </c>
    </row>
    <row r="88" spans="5:7" x14ac:dyDescent="0.3">
      <c r="E88" s="1">
        <v>82</v>
      </c>
      <c r="F88" s="1">
        <f t="shared" si="3"/>
        <v>1</v>
      </c>
      <c r="G88">
        <f t="shared" si="2"/>
        <v>6.6225165562913907E-3</v>
      </c>
    </row>
    <row r="89" spans="5:7" x14ac:dyDescent="0.3">
      <c r="E89" s="1">
        <v>83</v>
      </c>
      <c r="F89" s="1">
        <f t="shared" si="3"/>
        <v>18</v>
      </c>
      <c r="G89">
        <f t="shared" si="2"/>
        <v>0.11920529801324503</v>
      </c>
    </row>
    <row r="90" spans="5:7" x14ac:dyDescent="0.3">
      <c r="E90" s="1">
        <v>84</v>
      </c>
      <c r="F90" s="1">
        <f t="shared" si="3"/>
        <v>137</v>
      </c>
      <c r="G90">
        <f t="shared" si="2"/>
        <v>0.9072847682119205</v>
      </c>
    </row>
    <row r="91" spans="5:7" x14ac:dyDescent="0.3">
      <c r="E91" s="1">
        <v>85</v>
      </c>
      <c r="F91" s="1">
        <f t="shared" si="3"/>
        <v>64</v>
      </c>
      <c r="G91">
        <f t="shared" si="2"/>
        <v>0.42384105960264901</v>
      </c>
    </row>
    <row r="92" spans="5:7" x14ac:dyDescent="0.3">
      <c r="E92" s="1">
        <v>86</v>
      </c>
      <c r="F92" s="1">
        <f t="shared" si="3"/>
        <v>6</v>
      </c>
      <c r="G92">
        <f t="shared" si="2"/>
        <v>3.9735099337748346E-2</v>
      </c>
    </row>
    <row r="93" spans="5:7" x14ac:dyDescent="0.3">
      <c r="E93" s="1">
        <v>87</v>
      </c>
      <c r="F93" s="1">
        <f t="shared" si="3"/>
        <v>53</v>
      </c>
      <c r="G93">
        <f t="shared" si="2"/>
        <v>0.35099337748344372</v>
      </c>
    </row>
    <row r="94" spans="5:7" x14ac:dyDescent="0.3">
      <c r="E94" s="1">
        <v>88</v>
      </c>
      <c r="F94" s="1">
        <f t="shared" si="3"/>
        <v>80</v>
      </c>
      <c r="G94">
        <f t="shared" si="2"/>
        <v>0.5298013245033113</v>
      </c>
    </row>
    <row r="95" spans="5:7" x14ac:dyDescent="0.3">
      <c r="E95" s="1">
        <v>89</v>
      </c>
      <c r="F95" s="1">
        <f t="shared" si="3"/>
        <v>118</v>
      </c>
      <c r="G95">
        <f t="shared" si="2"/>
        <v>0.7814569536423841</v>
      </c>
    </row>
    <row r="96" spans="5:7" x14ac:dyDescent="0.3">
      <c r="E96" s="1">
        <v>90</v>
      </c>
      <c r="F96" s="1">
        <f t="shared" si="3"/>
        <v>82</v>
      </c>
      <c r="G96">
        <f t="shared" si="2"/>
        <v>0.54304635761589404</v>
      </c>
    </row>
    <row r="97" spans="5:7" x14ac:dyDescent="0.3">
      <c r="E97" s="1">
        <v>91</v>
      </c>
      <c r="F97" s="1">
        <f t="shared" si="3"/>
        <v>132</v>
      </c>
      <c r="G97">
        <f t="shared" si="2"/>
        <v>0.8741721854304636</v>
      </c>
    </row>
    <row r="98" spans="5:7" x14ac:dyDescent="0.3">
      <c r="E98" s="1">
        <v>92</v>
      </c>
      <c r="F98" s="1">
        <f t="shared" si="3"/>
        <v>29</v>
      </c>
      <c r="G98">
        <f t="shared" si="2"/>
        <v>0.19205298013245034</v>
      </c>
    </row>
    <row r="99" spans="5:7" x14ac:dyDescent="0.3">
      <c r="E99" s="1">
        <v>93</v>
      </c>
      <c r="F99" s="1">
        <f t="shared" si="3"/>
        <v>63</v>
      </c>
      <c r="G99">
        <f t="shared" si="2"/>
        <v>0.41721854304635764</v>
      </c>
    </row>
    <row r="100" spans="5:7" x14ac:dyDescent="0.3">
      <c r="E100" s="1">
        <v>94</v>
      </c>
      <c r="F100" s="1">
        <f t="shared" si="3"/>
        <v>150</v>
      </c>
      <c r="G100">
        <f t="shared" si="2"/>
        <v>0.99337748344370858</v>
      </c>
    </row>
    <row r="101" spans="5:7" x14ac:dyDescent="0.3">
      <c r="E101" s="1">
        <v>95</v>
      </c>
      <c r="F101" s="1">
        <f t="shared" si="3"/>
        <v>4</v>
      </c>
      <c r="G101">
        <f t="shared" si="2"/>
        <v>2.6490066225165563E-2</v>
      </c>
    </row>
    <row r="102" spans="5:7" x14ac:dyDescent="0.3">
      <c r="E102" s="1">
        <v>96</v>
      </c>
      <c r="F102" s="1">
        <f t="shared" si="3"/>
        <v>39</v>
      </c>
      <c r="G102">
        <f t="shared" si="2"/>
        <v>0.25827814569536423</v>
      </c>
    </row>
    <row r="103" spans="5:7" x14ac:dyDescent="0.3">
      <c r="E103" s="1">
        <v>97</v>
      </c>
      <c r="F103" s="1">
        <f t="shared" si="3"/>
        <v>133</v>
      </c>
      <c r="G103">
        <f t="shared" si="2"/>
        <v>0.88079470198675491</v>
      </c>
    </row>
    <row r="104" spans="5:7" x14ac:dyDescent="0.3">
      <c r="E104" s="1">
        <v>98</v>
      </c>
      <c r="F104" s="1">
        <f t="shared" si="3"/>
        <v>36</v>
      </c>
      <c r="G104">
        <f t="shared" si="2"/>
        <v>0.23841059602649006</v>
      </c>
    </row>
    <row r="105" spans="5:7" x14ac:dyDescent="0.3">
      <c r="E105" s="1">
        <v>99</v>
      </c>
      <c r="F105" s="1">
        <f t="shared" si="3"/>
        <v>112</v>
      </c>
      <c r="G105">
        <f t="shared" si="2"/>
        <v>0.74172185430463577</v>
      </c>
    </row>
    <row r="106" spans="5:7" x14ac:dyDescent="0.3">
      <c r="E106" s="1">
        <v>100</v>
      </c>
      <c r="F106" s="1">
        <f t="shared" si="3"/>
        <v>40</v>
      </c>
      <c r="G106">
        <f t="shared" si="2"/>
        <v>0.26490066225165565</v>
      </c>
    </row>
    <row r="107" spans="5:7" x14ac:dyDescent="0.3">
      <c r="E107" s="1">
        <v>101</v>
      </c>
      <c r="F107" s="1">
        <f t="shared" si="3"/>
        <v>140</v>
      </c>
      <c r="G107">
        <f t="shared" si="2"/>
        <v>0.92715231788079466</v>
      </c>
    </row>
    <row r="108" spans="5:7" x14ac:dyDescent="0.3">
      <c r="E108" s="1">
        <v>102</v>
      </c>
      <c r="F108" s="1">
        <f t="shared" si="3"/>
        <v>85</v>
      </c>
      <c r="G108">
        <f t="shared" si="2"/>
        <v>0.5629139072847682</v>
      </c>
    </row>
    <row r="109" spans="5:7" x14ac:dyDescent="0.3">
      <c r="E109" s="1">
        <v>103</v>
      </c>
      <c r="F109" s="1">
        <f t="shared" si="3"/>
        <v>2</v>
      </c>
      <c r="G109">
        <f t="shared" si="2"/>
        <v>1.3245033112582781E-2</v>
      </c>
    </row>
    <row r="110" spans="5:7" x14ac:dyDescent="0.3">
      <c r="E110" s="1">
        <v>104</v>
      </c>
      <c r="F110" s="1">
        <f t="shared" si="3"/>
        <v>25</v>
      </c>
      <c r="G110">
        <f t="shared" si="2"/>
        <v>0.16556291390728478</v>
      </c>
    </row>
    <row r="111" spans="5:7" x14ac:dyDescent="0.3">
      <c r="E111" s="1">
        <v>105</v>
      </c>
      <c r="F111" s="1">
        <f t="shared" si="3"/>
        <v>35</v>
      </c>
      <c r="G111">
        <f t="shared" si="2"/>
        <v>0.23178807947019867</v>
      </c>
    </row>
    <row r="112" spans="5:7" x14ac:dyDescent="0.3">
      <c r="E112" s="1">
        <v>106</v>
      </c>
      <c r="F112" s="1">
        <f t="shared" si="3"/>
        <v>105</v>
      </c>
      <c r="G112">
        <f t="shared" si="2"/>
        <v>0.69536423841059603</v>
      </c>
    </row>
    <row r="113" spans="5:7" x14ac:dyDescent="0.3">
      <c r="E113" s="1">
        <v>107</v>
      </c>
      <c r="F113" s="1">
        <f t="shared" si="3"/>
        <v>142</v>
      </c>
      <c r="G113">
        <f t="shared" si="2"/>
        <v>0.94039735099337751</v>
      </c>
    </row>
    <row r="114" spans="5:7" x14ac:dyDescent="0.3">
      <c r="E114" s="1">
        <v>108</v>
      </c>
      <c r="F114" s="1">
        <f t="shared" si="3"/>
        <v>99</v>
      </c>
      <c r="G114">
        <f t="shared" si="2"/>
        <v>0.6556291390728477</v>
      </c>
    </row>
    <row r="115" spans="5:7" x14ac:dyDescent="0.3">
      <c r="E115" s="1">
        <v>109</v>
      </c>
      <c r="F115" s="1">
        <f t="shared" si="3"/>
        <v>100</v>
      </c>
      <c r="G115">
        <f t="shared" si="2"/>
        <v>0.66225165562913912</v>
      </c>
    </row>
    <row r="116" spans="5:7" x14ac:dyDescent="0.3">
      <c r="E116" s="1">
        <v>110</v>
      </c>
      <c r="F116" s="1">
        <f t="shared" si="3"/>
        <v>107</v>
      </c>
      <c r="G116">
        <f t="shared" si="2"/>
        <v>0.70860927152317876</v>
      </c>
    </row>
    <row r="117" spans="5:7" x14ac:dyDescent="0.3">
      <c r="E117" s="1">
        <v>111</v>
      </c>
      <c r="F117" s="1">
        <f t="shared" si="3"/>
        <v>5</v>
      </c>
      <c r="G117">
        <f t="shared" si="2"/>
        <v>3.3112582781456956E-2</v>
      </c>
    </row>
    <row r="118" spans="5:7" x14ac:dyDescent="0.3">
      <c r="E118" s="1">
        <v>112</v>
      </c>
      <c r="F118" s="1">
        <f t="shared" si="3"/>
        <v>46</v>
      </c>
      <c r="G118">
        <f t="shared" si="2"/>
        <v>0.30463576158940397</v>
      </c>
    </row>
    <row r="119" spans="5:7" x14ac:dyDescent="0.3">
      <c r="E119" s="1">
        <v>113</v>
      </c>
      <c r="F119" s="1">
        <f t="shared" si="3"/>
        <v>31</v>
      </c>
      <c r="G119">
        <f t="shared" si="2"/>
        <v>0.20529801324503311</v>
      </c>
    </row>
    <row r="120" spans="5:7" x14ac:dyDescent="0.3">
      <c r="E120" s="1">
        <v>114</v>
      </c>
      <c r="F120" s="1">
        <f t="shared" si="3"/>
        <v>77</v>
      </c>
      <c r="G120">
        <f t="shared" si="2"/>
        <v>0.50993377483443714</v>
      </c>
    </row>
    <row r="121" spans="5:7" x14ac:dyDescent="0.3">
      <c r="E121" s="1">
        <v>115</v>
      </c>
      <c r="F121" s="1">
        <f t="shared" si="3"/>
        <v>97</v>
      </c>
      <c r="G121">
        <f t="shared" si="2"/>
        <v>0.64238410596026485</v>
      </c>
    </row>
    <row r="122" spans="5:7" x14ac:dyDescent="0.3">
      <c r="E122" s="1">
        <v>116</v>
      </c>
      <c r="F122" s="1">
        <f t="shared" si="3"/>
        <v>86</v>
      </c>
      <c r="G122">
        <f t="shared" si="2"/>
        <v>0.56953642384105962</v>
      </c>
    </row>
    <row r="123" spans="5:7" x14ac:dyDescent="0.3">
      <c r="E123" s="1">
        <v>117</v>
      </c>
      <c r="F123" s="1">
        <f t="shared" si="3"/>
        <v>9</v>
      </c>
      <c r="G123">
        <f t="shared" si="2"/>
        <v>5.9602649006622516E-2</v>
      </c>
    </row>
    <row r="124" spans="5:7" x14ac:dyDescent="0.3">
      <c r="E124" s="1">
        <v>118</v>
      </c>
      <c r="F124" s="1">
        <f t="shared" si="3"/>
        <v>74</v>
      </c>
      <c r="G124">
        <f t="shared" si="2"/>
        <v>0.49006622516556292</v>
      </c>
    </row>
    <row r="125" spans="5:7" x14ac:dyDescent="0.3">
      <c r="E125" s="1">
        <v>119</v>
      </c>
      <c r="F125" s="1">
        <f t="shared" si="3"/>
        <v>76</v>
      </c>
      <c r="G125">
        <f t="shared" si="2"/>
        <v>0.50331125827814571</v>
      </c>
    </row>
    <row r="126" spans="5:7" x14ac:dyDescent="0.3">
      <c r="E126" s="1">
        <v>120</v>
      </c>
      <c r="F126" s="1">
        <f t="shared" si="3"/>
        <v>90</v>
      </c>
      <c r="G126">
        <f t="shared" si="2"/>
        <v>0.59602649006622521</v>
      </c>
    </row>
    <row r="127" spans="5:7" x14ac:dyDescent="0.3">
      <c r="E127" s="1">
        <v>121</v>
      </c>
      <c r="F127" s="1">
        <f t="shared" si="3"/>
        <v>37</v>
      </c>
      <c r="G127">
        <f t="shared" si="2"/>
        <v>0.24503311258278146</v>
      </c>
    </row>
    <row r="128" spans="5:7" x14ac:dyDescent="0.3">
      <c r="E128" s="1">
        <v>122</v>
      </c>
      <c r="F128" s="1">
        <f t="shared" si="3"/>
        <v>119</v>
      </c>
      <c r="G128">
        <f t="shared" si="2"/>
        <v>0.78807947019867552</v>
      </c>
    </row>
    <row r="129" spans="5:7" x14ac:dyDescent="0.3">
      <c r="E129" s="1">
        <v>123</v>
      </c>
      <c r="F129" s="1">
        <f t="shared" si="3"/>
        <v>89</v>
      </c>
      <c r="G129">
        <f t="shared" si="2"/>
        <v>0.58940397350993379</v>
      </c>
    </row>
    <row r="130" spans="5:7" x14ac:dyDescent="0.3">
      <c r="E130" s="1">
        <v>124</v>
      </c>
      <c r="F130" s="1">
        <f t="shared" si="3"/>
        <v>30</v>
      </c>
      <c r="G130">
        <f t="shared" si="2"/>
        <v>0.19867549668874171</v>
      </c>
    </row>
    <row r="131" spans="5:7" x14ac:dyDescent="0.3">
      <c r="E131" s="1">
        <v>125</v>
      </c>
      <c r="F131" s="1">
        <f t="shared" si="3"/>
        <v>70</v>
      </c>
      <c r="G131">
        <f t="shared" si="2"/>
        <v>0.46357615894039733</v>
      </c>
    </row>
    <row r="132" spans="5:7" x14ac:dyDescent="0.3">
      <c r="E132" s="1">
        <v>126</v>
      </c>
      <c r="F132" s="1">
        <f t="shared" si="3"/>
        <v>48</v>
      </c>
      <c r="G132">
        <f t="shared" si="2"/>
        <v>0.31788079470198677</v>
      </c>
    </row>
    <row r="133" spans="5:7" x14ac:dyDescent="0.3">
      <c r="E133" s="1">
        <v>127</v>
      </c>
      <c r="F133" s="1">
        <f t="shared" si="3"/>
        <v>45</v>
      </c>
      <c r="G133">
        <f t="shared" si="2"/>
        <v>0.29801324503311261</v>
      </c>
    </row>
    <row r="134" spans="5:7" x14ac:dyDescent="0.3">
      <c r="E134" s="1">
        <v>128</v>
      </c>
      <c r="F134" s="1">
        <f t="shared" si="3"/>
        <v>24</v>
      </c>
      <c r="G134">
        <f t="shared" si="2"/>
        <v>0.15894039735099338</v>
      </c>
    </row>
    <row r="135" spans="5:7" x14ac:dyDescent="0.3">
      <c r="E135" s="1">
        <v>129</v>
      </c>
      <c r="F135" s="1">
        <f t="shared" si="3"/>
        <v>28</v>
      </c>
      <c r="G135">
        <f t="shared" si="2"/>
        <v>0.18543046357615894</v>
      </c>
    </row>
    <row r="136" spans="5:7" x14ac:dyDescent="0.3">
      <c r="E136" s="1">
        <v>130</v>
      </c>
      <c r="F136" s="1">
        <f t="shared" si="3"/>
        <v>56</v>
      </c>
      <c r="G136">
        <f t="shared" ref="G136:G156" si="4">F136/$H$4</f>
        <v>0.37086092715231789</v>
      </c>
    </row>
    <row r="137" spans="5:7" x14ac:dyDescent="0.3">
      <c r="E137" s="1">
        <v>131</v>
      </c>
      <c r="F137" s="1">
        <f t="shared" ref="F137:F156" si="5">MOD(($E$4*$F136+$G$4),$H$4)</f>
        <v>101</v>
      </c>
      <c r="G137">
        <f t="shared" si="4"/>
        <v>0.66887417218543044</v>
      </c>
    </row>
    <row r="138" spans="5:7" x14ac:dyDescent="0.3">
      <c r="E138" s="1">
        <v>132</v>
      </c>
      <c r="F138" s="1">
        <f t="shared" si="5"/>
        <v>114</v>
      </c>
      <c r="G138">
        <f t="shared" si="4"/>
        <v>0.75496688741721851</v>
      </c>
    </row>
    <row r="139" spans="5:7" x14ac:dyDescent="0.3">
      <c r="E139" s="1">
        <v>133</v>
      </c>
      <c r="F139" s="1">
        <f t="shared" si="5"/>
        <v>54</v>
      </c>
      <c r="G139">
        <f t="shared" si="4"/>
        <v>0.35761589403973509</v>
      </c>
    </row>
    <row r="140" spans="5:7" x14ac:dyDescent="0.3">
      <c r="E140" s="1">
        <v>134</v>
      </c>
      <c r="F140" s="1">
        <f t="shared" si="5"/>
        <v>87</v>
      </c>
      <c r="G140">
        <f t="shared" si="4"/>
        <v>0.57615894039735094</v>
      </c>
    </row>
    <row r="141" spans="5:7" x14ac:dyDescent="0.3">
      <c r="E141" s="1">
        <v>135</v>
      </c>
      <c r="F141" s="1">
        <f t="shared" si="5"/>
        <v>16</v>
      </c>
      <c r="G141">
        <f t="shared" si="4"/>
        <v>0.10596026490066225</v>
      </c>
    </row>
    <row r="142" spans="5:7" x14ac:dyDescent="0.3">
      <c r="E142" s="1">
        <v>136</v>
      </c>
      <c r="F142" s="1">
        <f t="shared" si="5"/>
        <v>123</v>
      </c>
      <c r="G142">
        <f t="shared" si="4"/>
        <v>0.81456953642384111</v>
      </c>
    </row>
    <row r="143" spans="5:7" x14ac:dyDescent="0.3">
      <c r="E143" s="1">
        <v>137</v>
      </c>
      <c r="F143" s="1">
        <f t="shared" si="5"/>
        <v>117</v>
      </c>
      <c r="G143">
        <f t="shared" si="4"/>
        <v>0.77483443708609268</v>
      </c>
    </row>
    <row r="144" spans="5:7" x14ac:dyDescent="0.3">
      <c r="E144" s="1">
        <v>138</v>
      </c>
      <c r="F144" s="1">
        <f t="shared" si="5"/>
        <v>75</v>
      </c>
      <c r="G144">
        <f t="shared" si="4"/>
        <v>0.49668874172185429</v>
      </c>
    </row>
    <row r="145" spans="5:7" x14ac:dyDescent="0.3">
      <c r="E145" s="1">
        <v>139</v>
      </c>
      <c r="F145" s="1">
        <f t="shared" si="5"/>
        <v>83</v>
      </c>
      <c r="G145">
        <f t="shared" si="4"/>
        <v>0.54966887417218546</v>
      </c>
    </row>
    <row r="146" spans="5:7" x14ac:dyDescent="0.3">
      <c r="E146" s="1">
        <v>140</v>
      </c>
      <c r="F146" s="1">
        <f t="shared" si="5"/>
        <v>139</v>
      </c>
      <c r="G146">
        <f t="shared" si="4"/>
        <v>0.92052980132450335</v>
      </c>
    </row>
    <row r="147" spans="5:7" x14ac:dyDescent="0.3">
      <c r="E147" s="1">
        <v>141</v>
      </c>
      <c r="F147" s="1">
        <f t="shared" si="5"/>
        <v>78</v>
      </c>
      <c r="G147">
        <f t="shared" si="4"/>
        <v>0.51655629139072845</v>
      </c>
    </row>
    <row r="148" spans="5:7" x14ac:dyDescent="0.3">
      <c r="E148" s="1">
        <v>142</v>
      </c>
      <c r="F148" s="1">
        <f t="shared" si="5"/>
        <v>104</v>
      </c>
      <c r="G148">
        <f t="shared" si="4"/>
        <v>0.6887417218543046</v>
      </c>
    </row>
    <row r="149" spans="5:7" x14ac:dyDescent="0.3">
      <c r="E149" s="1">
        <v>143</v>
      </c>
      <c r="F149" s="1">
        <f t="shared" si="5"/>
        <v>135</v>
      </c>
      <c r="G149">
        <f t="shared" si="4"/>
        <v>0.89403973509933776</v>
      </c>
    </row>
    <row r="150" spans="5:7" x14ac:dyDescent="0.3">
      <c r="E150" s="1">
        <v>144</v>
      </c>
      <c r="F150" s="1">
        <f t="shared" si="5"/>
        <v>50</v>
      </c>
      <c r="G150">
        <f t="shared" si="4"/>
        <v>0.33112582781456956</v>
      </c>
    </row>
    <row r="151" spans="5:7" x14ac:dyDescent="0.3">
      <c r="E151" s="1">
        <v>145</v>
      </c>
      <c r="F151" s="1">
        <f t="shared" si="5"/>
        <v>59</v>
      </c>
      <c r="G151">
        <f t="shared" si="4"/>
        <v>0.39072847682119205</v>
      </c>
    </row>
    <row r="152" spans="5:7" x14ac:dyDescent="0.3">
      <c r="E152" s="1">
        <v>146</v>
      </c>
      <c r="F152" s="1">
        <f t="shared" si="5"/>
        <v>122</v>
      </c>
      <c r="G152">
        <f t="shared" si="4"/>
        <v>0.80794701986754969</v>
      </c>
    </row>
    <row r="153" spans="5:7" x14ac:dyDescent="0.3">
      <c r="E153" s="1">
        <v>147</v>
      </c>
      <c r="F153" s="1">
        <f t="shared" si="5"/>
        <v>110</v>
      </c>
      <c r="G153">
        <f t="shared" si="4"/>
        <v>0.72847682119205293</v>
      </c>
    </row>
    <row r="154" spans="5:7" x14ac:dyDescent="0.3">
      <c r="E154" s="1">
        <v>148</v>
      </c>
      <c r="F154" s="1">
        <f t="shared" si="5"/>
        <v>26</v>
      </c>
      <c r="G154">
        <f t="shared" si="4"/>
        <v>0.17218543046357615</v>
      </c>
    </row>
    <row r="155" spans="5:7" x14ac:dyDescent="0.3">
      <c r="E155" s="1">
        <v>149</v>
      </c>
      <c r="F155" s="1">
        <f t="shared" si="5"/>
        <v>42</v>
      </c>
      <c r="G155">
        <f t="shared" si="4"/>
        <v>0.27814569536423839</v>
      </c>
    </row>
    <row r="156" spans="5:7" x14ac:dyDescent="0.3">
      <c r="E156" s="1">
        <v>150</v>
      </c>
      <c r="F156" s="1">
        <f t="shared" si="5"/>
        <v>3</v>
      </c>
      <c r="G156">
        <f t="shared" si="4"/>
        <v>1.9867549668874173E-2</v>
      </c>
    </row>
    <row r="157" spans="5:7" x14ac:dyDescent="0.3">
      <c r="E157" s="1"/>
    </row>
    <row r="158" spans="5:7" x14ac:dyDescent="0.3">
      <c r="E158" s="1"/>
    </row>
    <row r="159" spans="5:7" x14ac:dyDescent="0.3">
      <c r="E159" s="1"/>
    </row>
    <row r="160" spans="5:7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</sheetData>
  <mergeCells count="1">
    <mergeCell ref="E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EA53-21C7-4AE9-BA1F-1A30048F859B}">
  <dimension ref="A1:L196"/>
  <sheetViews>
    <sheetView tabSelected="1" workbookViewId="0">
      <selection activeCell="I7" sqref="I7"/>
    </sheetView>
  </sheetViews>
  <sheetFormatPr defaultRowHeight="14.4" x14ac:dyDescent="0.3"/>
  <cols>
    <col min="1" max="1" width="11.44140625" customWidth="1"/>
    <col min="2" max="2" width="19" customWidth="1"/>
    <col min="3" max="3" width="14.77734375" customWidth="1"/>
    <col min="6" max="6" width="8.88671875" style="1"/>
    <col min="7" max="7" width="11" customWidth="1"/>
    <col min="8" max="8" width="11.77734375" customWidth="1"/>
    <col min="9" max="9" width="13.88671875" customWidth="1"/>
  </cols>
  <sheetData>
    <row r="1" spans="1:12" x14ac:dyDescent="0.3">
      <c r="A1" s="3" t="s">
        <v>0</v>
      </c>
      <c r="B1" s="3" t="s">
        <v>1</v>
      </c>
      <c r="C1" s="3" t="s">
        <v>2</v>
      </c>
      <c r="E1" s="6" t="s">
        <v>41</v>
      </c>
    </row>
    <row r="2" spans="1:12" x14ac:dyDescent="0.3">
      <c r="A2" s="2" t="s">
        <v>5</v>
      </c>
      <c r="B2" s="2">
        <v>5025241075</v>
      </c>
      <c r="C2" s="2" t="s">
        <v>4</v>
      </c>
      <c r="E2" s="5" t="s">
        <v>11</v>
      </c>
      <c r="F2" s="5"/>
      <c r="G2" s="5"/>
      <c r="H2" s="5"/>
    </row>
    <row r="3" spans="1:12" x14ac:dyDescent="0.3">
      <c r="A3" s="2" t="s">
        <v>7</v>
      </c>
      <c r="B3" s="2">
        <v>5025241012</v>
      </c>
      <c r="C3" s="2" t="s">
        <v>3</v>
      </c>
      <c r="E3" s="2" t="s">
        <v>8</v>
      </c>
      <c r="F3" s="2" t="s">
        <v>14</v>
      </c>
      <c r="G3" s="2" t="s">
        <v>9</v>
      </c>
      <c r="H3" s="2" t="s">
        <v>10</v>
      </c>
    </row>
    <row r="4" spans="1:12" x14ac:dyDescent="0.3">
      <c r="A4" s="2" t="s">
        <v>6</v>
      </c>
      <c r="B4" s="2">
        <v>5025241166</v>
      </c>
      <c r="C4" s="2" t="s">
        <v>4</v>
      </c>
      <c r="E4" s="7">
        <v>7</v>
      </c>
      <c r="F4" s="7">
        <v>3</v>
      </c>
      <c r="G4" s="7">
        <v>11</v>
      </c>
      <c r="H4" s="7">
        <v>151</v>
      </c>
      <c r="I4" s="4" t="s">
        <v>12</v>
      </c>
      <c r="J4" s="4"/>
      <c r="K4" s="4"/>
    </row>
    <row r="6" spans="1:12" ht="28.8" x14ac:dyDescent="0.3">
      <c r="E6" s="9" t="s">
        <v>13</v>
      </c>
      <c r="F6" s="10" t="s">
        <v>16</v>
      </c>
      <c r="G6" s="10" t="s">
        <v>33</v>
      </c>
      <c r="H6" s="10" t="s">
        <v>30</v>
      </c>
      <c r="I6" s="10" t="s">
        <v>31</v>
      </c>
      <c r="K6" s="10" t="s">
        <v>34</v>
      </c>
    </row>
    <row r="7" spans="1:12" x14ac:dyDescent="0.3">
      <c r="E7" s="1">
        <v>1</v>
      </c>
      <c r="F7" s="1">
        <f>MOD((E4*F4+G4),H4)</f>
        <v>32</v>
      </c>
      <c r="G7">
        <f>F7/$H$4</f>
        <v>0.2119205298013245</v>
      </c>
      <c r="H7" s="1">
        <f>G7*($L$12-$K$12)+$K$12</f>
        <v>0.42384105960264901</v>
      </c>
      <c r="I7">
        <f>LN(G7)*(-1)</f>
        <v>1.5515439340151977</v>
      </c>
      <c r="K7" s="11" t="s">
        <v>35</v>
      </c>
    </row>
    <row r="8" spans="1:12" x14ac:dyDescent="0.3">
      <c r="E8" s="1">
        <v>2</v>
      </c>
      <c r="F8" s="1">
        <f>MOD(($E$4*$F7+$G$4),$H$4)</f>
        <v>84</v>
      </c>
      <c r="G8">
        <f t="shared" ref="G8:G71" si="0">F8/$H$4</f>
        <v>0.55629139072847678</v>
      </c>
      <c r="H8" s="1">
        <f t="shared" ref="H8:H71" si="1">G8*($L$12-$K$12)+$K$12</f>
        <v>1.1125827814569536</v>
      </c>
      <c r="I8">
        <f t="shared" ref="I8:I71" si="2">LN(G8)*(-1)</f>
        <v>0.58646303797161081</v>
      </c>
      <c r="K8" t="s">
        <v>36</v>
      </c>
    </row>
    <row r="9" spans="1:12" x14ac:dyDescent="0.3">
      <c r="E9" s="1">
        <v>3</v>
      </c>
      <c r="F9" s="1">
        <f t="shared" ref="F9:F72" si="3">MOD(($E$4*$F8+$G$4),$H$4)</f>
        <v>146</v>
      </c>
      <c r="G9">
        <f t="shared" si="0"/>
        <v>0.9668874172185431</v>
      </c>
      <c r="H9" s="1">
        <f t="shared" si="1"/>
        <v>1.9337748344370862</v>
      </c>
      <c r="I9">
        <f t="shared" si="2"/>
        <v>3.3673215106587835E-2</v>
      </c>
      <c r="K9" t="s">
        <v>37</v>
      </c>
    </row>
    <row r="10" spans="1:12" x14ac:dyDescent="0.3">
      <c r="E10" s="1">
        <v>4</v>
      </c>
      <c r="F10" s="1">
        <f t="shared" si="3"/>
        <v>127</v>
      </c>
      <c r="G10">
        <f t="shared" si="0"/>
        <v>0.84105960264900659</v>
      </c>
      <c r="H10" s="1">
        <f t="shared" si="1"/>
        <v>1.6821192052980132</v>
      </c>
      <c r="I10">
        <f t="shared" si="2"/>
        <v>0.17309275035633309</v>
      </c>
      <c r="K10" t="s">
        <v>38</v>
      </c>
    </row>
    <row r="11" spans="1:12" x14ac:dyDescent="0.3">
      <c r="E11" s="1">
        <v>5</v>
      </c>
      <c r="F11" s="1">
        <f t="shared" si="3"/>
        <v>145</v>
      </c>
      <c r="G11">
        <f t="shared" si="0"/>
        <v>0.96026490066225167</v>
      </c>
      <c r="H11" s="1">
        <f t="shared" si="1"/>
        <v>1.9205298013245033</v>
      </c>
      <c r="I11">
        <f t="shared" si="2"/>
        <v>4.0546094394349905E-2</v>
      </c>
      <c r="K11" s="1" t="s">
        <v>8</v>
      </c>
      <c r="L11" s="1" t="s">
        <v>32</v>
      </c>
    </row>
    <row r="12" spans="1:12" x14ac:dyDescent="0.3">
      <c r="E12" s="1">
        <v>6</v>
      </c>
      <c r="F12" s="1">
        <f t="shared" si="3"/>
        <v>120</v>
      </c>
      <c r="G12">
        <f t="shared" si="0"/>
        <v>0.79470198675496684</v>
      </c>
      <c r="H12" s="1">
        <f t="shared" si="1"/>
        <v>1.5894039735099337</v>
      </c>
      <c r="I12">
        <f t="shared" si="2"/>
        <v>0.22978809403287839</v>
      </c>
      <c r="K12" s="1">
        <v>0</v>
      </c>
      <c r="L12" s="1">
        <v>2</v>
      </c>
    </row>
    <row r="13" spans="1:12" x14ac:dyDescent="0.3">
      <c r="E13" s="1">
        <v>7</v>
      </c>
      <c r="F13" s="1">
        <f t="shared" si="3"/>
        <v>96</v>
      </c>
      <c r="G13">
        <f t="shared" si="0"/>
        <v>0.63576158940397354</v>
      </c>
      <c r="H13" s="1">
        <f t="shared" si="1"/>
        <v>1.2715231788079471</v>
      </c>
      <c r="I13">
        <f t="shared" si="2"/>
        <v>0.45293164534708807</v>
      </c>
    </row>
    <row r="14" spans="1:12" x14ac:dyDescent="0.3">
      <c r="E14" s="1">
        <v>8</v>
      </c>
      <c r="F14" s="1">
        <f t="shared" si="3"/>
        <v>79</v>
      </c>
      <c r="G14">
        <f t="shared" si="0"/>
        <v>0.52317880794701987</v>
      </c>
      <c r="H14" s="1">
        <f t="shared" si="1"/>
        <v>1.0463576158940397</v>
      </c>
      <c r="I14">
        <f t="shared" si="2"/>
        <v>0.64783198434790279</v>
      </c>
      <c r="K14" s="11" t="s">
        <v>39</v>
      </c>
    </row>
    <row r="15" spans="1:12" x14ac:dyDescent="0.3">
      <c r="E15" s="1">
        <v>9</v>
      </c>
      <c r="F15" s="1">
        <f t="shared" si="3"/>
        <v>111</v>
      </c>
      <c r="G15">
        <f>F15/$H$4</f>
        <v>0.73509933774834435</v>
      </c>
      <c r="H15" s="1">
        <f t="shared" si="1"/>
        <v>1.4701986754966887</v>
      </c>
      <c r="I15">
        <f t="shared" si="2"/>
        <v>0.30774963550259021</v>
      </c>
      <c r="K15" t="s">
        <v>40</v>
      </c>
    </row>
    <row r="16" spans="1:12" x14ac:dyDescent="0.3">
      <c r="E16" s="1">
        <v>10</v>
      </c>
      <c r="F16" s="1">
        <f t="shared" si="3"/>
        <v>33</v>
      </c>
      <c r="G16">
        <f t="shared" si="0"/>
        <v>0.2185430463576159</v>
      </c>
      <c r="H16" s="1">
        <f t="shared" si="1"/>
        <v>0.4370860927152318</v>
      </c>
      <c r="I16">
        <f t="shared" si="2"/>
        <v>1.5207722753484441</v>
      </c>
    </row>
    <row r="17" spans="5:9" x14ac:dyDescent="0.3">
      <c r="E17" s="1">
        <v>11</v>
      </c>
      <c r="F17" s="1">
        <f t="shared" si="3"/>
        <v>91</v>
      </c>
      <c r="G17">
        <f t="shared" si="0"/>
        <v>0.60264900662251653</v>
      </c>
      <c r="H17" s="1">
        <f t="shared" si="1"/>
        <v>1.2052980132450331</v>
      </c>
      <c r="I17">
        <f t="shared" si="2"/>
        <v>0.50642033029807432</v>
      </c>
    </row>
    <row r="18" spans="5:9" x14ac:dyDescent="0.3">
      <c r="E18" s="1">
        <v>12</v>
      </c>
      <c r="F18" s="1">
        <f t="shared" si="3"/>
        <v>44</v>
      </c>
      <c r="G18">
        <f t="shared" si="0"/>
        <v>0.29139072847682118</v>
      </c>
      <c r="H18" s="1">
        <f t="shared" si="1"/>
        <v>0.58278145695364236</v>
      </c>
      <c r="I18">
        <f t="shared" si="2"/>
        <v>1.2330902028966633</v>
      </c>
    </row>
    <row r="19" spans="5:9" x14ac:dyDescent="0.3">
      <c r="E19" s="1">
        <v>13</v>
      </c>
      <c r="F19" s="1">
        <f t="shared" si="3"/>
        <v>17</v>
      </c>
      <c r="G19">
        <f t="shared" si="0"/>
        <v>0.11258278145695365</v>
      </c>
      <c r="H19" s="1">
        <f t="shared" si="1"/>
        <v>0.2251655629139073</v>
      </c>
      <c r="I19">
        <f t="shared" si="2"/>
        <v>2.1840664927587081</v>
      </c>
    </row>
    <row r="20" spans="5:9" x14ac:dyDescent="0.3">
      <c r="E20" s="1">
        <v>14</v>
      </c>
      <c r="F20" s="1">
        <f t="shared" si="3"/>
        <v>130</v>
      </c>
      <c r="G20">
        <f t="shared" si="0"/>
        <v>0.86092715231788075</v>
      </c>
      <c r="H20" s="1">
        <f t="shared" si="1"/>
        <v>1.7218543046357615</v>
      </c>
      <c r="I20">
        <f t="shared" si="2"/>
        <v>0.14974538635934195</v>
      </c>
    </row>
    <row r="21" spans="5:9" x14ac:dyDescent="0.3">
      <c r="E21" s="1">
        <v>15</v>
      </c>
      <c r="F21" s="1">
        <f t="shared" si="3"/>
        <v>15</v>
      </c>
      <c r="G21">
        <f t="shared" si="0"/>
        <v>9.9337748344370855E-2</v>
      </c>
      <c r="H21" s="1">
        <f t="shared" si="1"/>
        <v>0.19867549668874171</v>
      </c>
      <c r="I21">
        <f t="shared" si="2"/>
        <v>2.3092296357127142</v>
      </c>
    </row>
    <row r="22" spans="5:9" x14ac:dyDescent="0.3">
      <c r="E22" s="1">
        <v>16</v>
      </c>
      <c r="F22" s="1">
        <f t="shared" si="3"/>
        <v>116</v>
      </c>
      <c r="G22">
        <f t="shared" si="0"/>
        <v>0.76821192052980136</v>
      </c>
      <c r="H22" s="1">
        <f t="shared" si="1"/>
        <v>1.5364238410596027</v>
      </c>
      <c r="I22">
        <f t="shared" si="2"/>
        <v>0.26368964570855963</v>
      </c>
    </row>
    <row r="23" spans="5:9" x14ac:dyDescent="0.3">
      <c r="E23" s="1">
        <v>17</v>
      </c>
      <c r="F23" s="1">
        <f t="shared" si="3"/>
        <v>68</v>
      </c>
      <c r="G23">
        <f t="shared" si="0"/>
        <v>0.45033112582781459</v>
      </c>
      <c r="H23" s="1">
        <f t="shared" si="1"/>
        <v>0.90066225165562919</v>
      </c>
      <c r="I23">
        <f t="shared" si="2"/>
        <v>0.79777213163881755</v>
      </c>
    </row>
    <row r="24" spans="5:9" x14ac:dyDescent="0.3">
      <c r="E24" s="1">
        <v>18</v>
      </c>
      <c r="F24" s="1">
        <f t="shared" si="3"/>
        <v>34</v>
      </c>
      <c r="G24">
        <f t="shared" si="0"/>
        <v>0.2251655629139073</v>
      </c>
      <c r="H24" s="1">
        <f t="shared" si="1"/>
        <v>0.45033112582781459</v>
      </c>
      <c r="I24">
        <f t="shared" si="2"/>
        <v>1.4909193121987629</v>
      </c>
    </row>
    <row r="25" spans="5:9" x14ac:dyDescent="0.3">
      <c r="E25" s="1">
        <v>19</v>
      </c>
      <c r="F25" s="1">
        <f t="shared" si="3"/>
        <v>98</v>
      </c>
      <c r="G25">
        <f t="shared" si="0"/>
        <v>0.64900662251655628</v>
      </c>
      <c r="H25" s="1">
        <f t="shared" si="1"/>
        <v>1.2980132450331126</v>
      </c>
      <c r="I25">
        <f t="shared" si="2"/>
        <v>0.43231235814435243</v>
      </c>
    </row>
    <row r="26" spans="5:9" x14ac:dyDescent="0.3">
      <c r="E26" s="1">
        <v>20</v>
      </c>
      <c r="F26" s="1">
        <f t="shared" si="3"/>
        <v>93</v>
      </c>
      <c r="G26">
        <f t="shared" si="0"/>
        <v>0.61589403973509937</v>
      </c>
      <c r="H26" s="1">
        <f t="shared" si="1"/>
        <v>1.2317880794701987</v>
      </c>
      <c r="I26">
        <f t="shared" si="2"/>
        <v>0.48468034366166834</v>
      </c>
    </row>
    <row r="27" spans="5:9" x14ac:dyDescent="0.3">
      <c r="E27" s="1">
        <v>21</v>
      </c>
      <c r="F27" s="1">
        <f t="shared" si="3"/>
        <v>58</v>
      </c>
      <c r="G27">
        <f t="shared" si="0"/>
        <v>0.38410596026490068</v>
      </c>
      <c r="H27" s="1">
        <f t="shared" si="1"/>
        <v>0.76821192052980136</v>
      </c>
      <c r="I27">
        <f t="shared" si="2"/>
        <v>0.95683682626850497</v>
      </c>
    </row>
    <row r="28" spans="5:9" x14ac:dyDescent="0.3">
      <c r="E28" s="1">
        <v>22</v>
      </c>
      <c r="F28" s="1">
        <f t="shared" si="3"/>
        <v>115</v>
      </c>
      <c r="G28">
        <f t="shared" si="0"/>
        <v>0.76158940397350994</v>
      </c>
      <c r="H28" s="1">
        <f t="shared" si="1"/>
        <v>1.5231788079470199</v>
      </c>
      <c r="I28">
        <f t="shared" si="2"/>
        <v>0.27234770845167428</v>
      </c>
    </row>
    <row r="29" spans="5:9" x14ac:dyDescent="0.3">
      <c r="E29" s="1">
        <v>23</v>
      </c>
      <c r="F29" s="1">
        <f t="shared" si="3"/>
        <v>61</v>
      </c>
      <c r="G29">
        <f t="shared" si="0"/>
        <v>0.40397350993377484</v>
      </c>
      <c r="H29" s="1">
        <f t="shared" si="1"/>
        <v>0.80794701986754969</v>
      </c>
      <c r="I29">
        <f t="shared" si="2"/>
        <v>0.90640597264161304</v>
      </c>
    </row>
    <row r="30" spans="5:9" x14ac:dyDescent="0.3">
      <c r="E30" s="1">
        <v>24</v>
      </c>
      <c r="F30" s="1">
        <f t="shared" si="3"/>
        <v>136</v>
      </c>
      <c r="G30">
        <f t="shared" si="0"/>
        <v>0.90066225165562919</v>
      </c>
      <c r="H30" s="1">
        <f t="shared" si="1"/>
        <v>1.8013245033112584</v>
      </c>
      <c r="I30">
        <f t="shared" si="2"/>
        <v>0.10462495107887226</v>
      </c>
    </row>
    <row r="31" spans="5:9" x14ac:dyDescent="0.3">
      <c r="E31" s="1">
        <v>25</v>
      </c>
      <c r="F31" s="1">
        <f t="shared" si="3"/>
        <v>57</v>
      </c>
      <c r="G31">
        <f t="shared" si="0"/>
        <v>0.37748344370860926</v>
      </c>
      <c r="H31" s="1">
        <f t="shared" si="1"/>
        <v>0.75496688741721851</v>
      </c>
      <c r="I31">
        <f t="shared" si="2"/>
        <v>0.97422856898037424</v>
      </c>
    </row>
    <row r="32" spans="5:9" x14ac:dyDescent="0.3">
      <c r="E32" s="1">
        <v>26</v>
      </c>
      <c r="F32" s="1">
        <f t="shared" si="3"/>
        <v>108</v>
      </c>
      <c r="G32">
        <f t="shared" si="0"/>
        <v>0.71523178807947019</v>
      </c>
      <c r="H32" s="1">
        <f t="shared" si="1"/>
        <v>1.4304635761589404</v>
      </c>
      <c r="I32">
        <f t="shared" si="2"/>
        <v>0.33514860969070465</v>
      </c>
    </row>
    <row r="33" spans="5:9" x14ac:dyDescent="0.3">
      <c r="E33" s="1">
        <v>27</v>
      </c>
      <c r="F33" s="1">
        <f t="shared" si="3"/>
        <v>12</v>
      </c>
      <c r="G33">
        <f t="shared" si="0"/>
        <v>7.9470198675496692E-2</v>
      </c>
      <c r="H33" s="1">
        <f t="shared" si="1"/>
        <v>0.15894039735099338</v>
      </c>
      <c r="I33">
        <f t="shared" si="2"/>
        <v>2.5323731870269239</v>
      </c>
    </row>
    <row r="34" spans="5:9" x14ac:dyDescent="0.3">
      <c r="E34" s="1">
        <v>28</v>
      </c>
      <c r="F34" s="1">
        <f t="shared" si="3"/>
        <v>95</v>
      </c>
      <c r="G34">
        <f t="shared" si="0"/>
        <v>0.62913907284768211</v>
      </c>
      <c r="H34" s="1">
        <f t="shared" si="1"/>
        <v>1.2582781456953642</v>
      </c>
      <c r="I34">
        <f t="shared" si="2"/>
        <v>0.46340294521438352</v>
      </c>
    </row>
    <row r="35" spans="5:9" x14ac:dyDescent="0.3">
      <c r="E35" s="1">
        <v>29</v>
      </c>
      <c r="F35" s="1">
        <f t="shared" si="3"/>
        <v>72</v>
      </c>
      <c r="G35">
        <f t="shared" si="0"/>
        <v>0.47682119205298013</v>
      </c>
      <c r="H35" s="1">
        <f t="shared" si="1"/>
        <v>0.95364238410596025</v>
      </c>
      <c r="I35">
        <f t="shared" si="2"/>
        <v>0.74061371779886909</v>
      </c>
    </row>
    <row r="36" spans="5:9" x14ac:dyDescent="0.3">
      <c r="E36" s="1">
        <v>30</v>
      </c>
      <c r="F36" s="1">
        <f t="shared" si="3"/>
        <v>62</v>
      </c>
      <c r="G36">
        <f t="shared" si="0"/>
        <v>0.41059602649006621</v>
      </c>
      <c r="H36" s="1">
        <f t="shared" si="1"/>
        <v>0.82119205298013243</v>
      </c>
      <c r="I36">
        <f t="shared" si="2"/>
        <v>0.89014545176983284</v>
      </c>
    </row>
    <row r="37" spans="5:9" x14ac:dyDescent="0.3">
      <c r="E37" s="1">
        <v>31</v>
      </c>
      <c r="F37" s="1">
        <f t="shared" si="3"/>
        <v>143</v>
      </c>
      <c r="G37">
        <f t="shared" si="0"/>
        <v>0.94701986754966883</v>
      </c>
      <c r="H37" s="1">
        <f t="shared" si="1"/>
        <v>1.8940397350993377</v>
      </c>
      <c r="I37">
        <f t="shared" si="2"/>
        <v>5.4435206555017102E-2</v>
      </c>
    </row>
    <row r="38" spans="5:9" x14ac:dyDescent="0.3">
      <c r="E38" s="1">
        <v>32</v>
      </c>
      <c r="F38" s="1">
        <f t="shared" si="3"/>
        <v>106</v>
      </c>
      <c r="G38">
        <f t="shared" si="0"/>
        <v>0.70198675496688745</v>
      </c>
      <c r="H38" s="1">
        <f t="shared" si="1"/>
        <v>1.4039735099337749</v>
      </c>
      <c r="I38">
        <f t="shared" si="2"/>
        <v>0.35384074270285715</v>
      </c>
    </row>
    <row r="39" spans="5:9" x14ac:dyDescent="0.3">
      <c r="E39" s="1">
        <v>33</v>
      </c>
      <c r="F39" s="1">
        <f t="shared" si="3"/>
        <v>149</v>
      </c>
      <c r="G39">
        <f t="shared" si="0"/>
        <v>0.98675496688741726</v>
      </c>
      <c r="H39" s="1">
        <f t="shared" si="1"/>
        <v>1.9735099337748345</v>
      </c>
      <c r="I39">
        <f t="shared" si="2"/>
        <v>1.3333530869465144E-2</v>
      </c>
    </row>
    <row r="40" spans="5:9" x14ac:dyDescent="0.3">
      <c r="E40" s="1">
        <v>34</v>
      </c>
      <c r="F40" s="1">
        <f t="shared" si="3"/>
        <v>148</v>
      </c>
      <c r="G40">
        <f t="shared" si="0"/>
        <v>0.98013245033112584</v>
      </c>
      <c r="H40" s="1">
        <f t="shared" si="1"/>
        <v>1.9602649006622517</v>
      </c>
      <c r="I40">
        <f t="shared" si="2"/>
        <v>2.0067563050809256E-2</v>
      </c>
    </row>
    <row r="41" spans="5:9" x14ac:dyDescent="0.3">
      <c r="E41" s="1">
        <v>35</v>
      </c>
      <c r="F41" s="1">
        <f t="shared" si="3"/>
        <v>141</v>
      </c>
      <c r="G41">
        <f t="shared" si="0"/>
        <v>0.93377483443708609</v>
      </c>
      <c r="H41" s="1">
        <f t="shared" si="1"/>
        <v>1.8675496688741722</v>
      </c>
      <c r="I41">
        <f t="shared" si="2"/>
        <v>6.851994643675606E-2</v>
      </c>
    </row>
    <row r="42" spans="5:9" x14ac:dyDescent="0.3">
      <c r="E42" s="1">
        <v>36</v>
      </c>
      <c r="F42" s="1">
        <f t="shared" si="3"/>
        <v>92</v>
      </c>
      <c r="G42">
        <f t="shared" si="0"/>
        <v>0.60927152317880795</v>
      </c>
      <c r="H42" s="1">
        <f t="shared" si="1"/>
        <v>1.2185430463576159</v>
      </c>
      <c r="I42">
        <f t="shared" si="2"/>
        <v>0.49549125976588404</v>
      </c>
    </row>
    <row r="43" spans="5:9" x14ac:dyDescent="0.3">
      <c r="E43" s="1">
        <v>37</v>
      </c>
      <c r="F43" s="1">
        <f t="shared" si="3"/>
        <v>51</v>
      </c>
      <c r="G43">
        <f t="shared" si="0"/>
        <v>0.33774834437086093</v>
      </c>
      <c r="H43" s="1">
        <f t="shared" si="1"/>
        <v>0.67549668874172186</v>
      </c>
      <c r="I43">
        <f t="shared" si="2"/>
        <v>1.0854542040905986</v>
      </c>
    </row>
    <row r="44" spans="5:9" x14ac:dyDescent="0.3">
      <c r="E44" s="1">
        <v>38</v>
      </c>
      <c r="F44" s="1">
        <f t="shared" si="3"/>
        <v>66</v>
      </c>
      <c r="G44">
        <f t="shared" si="0"/>
        <v>0.4370860927152318</v>
      </c>
      <c r="H44" s="1">
        <f t="shared" si="1"/>
        <v>0.8741721854304636</v>
      </c>
      <c r="I44">
        <f t="shared" si="2"/>
        <v>0.82762509478849877</v>
      </c>
    </row>
    <row r="45" spans="5:9" x14ac:dyDescent="0.3">
      <c r="E45" s="1">
        <v>39</v>
      </c>
      <c r="F45" s="1">
        <f t="shared" si="3"/>
        <v>20</v>
      </c>
      <c r="G45">
        <f t="shared" si="0"/>
        <v>0.13245033112582782</v>
      </c>
      <c r="H45" s="1">
        <f t="shared" si="1"/>
        <v>0.26490066225165565</v>
      </c>
      <c r="I45">
        <f t="shared" si="2"/>
        <v>2.0215475632609334</v>
      </c>
    </row>
    <row r="46" spans="5:9" x14ac:dyDescent="0.3">
      <c r="E46" s="1">
        <v>40</v>
      </c>
      <c r="F46" s="1">
        <f t="shared" si="3"/>
        <v>0</v>
      </c>
      <c r="G46">
        <f t="shared" si="0"/>
        <v>0</v>
      </c>
      <c r="H46" s="1">
        <f t="shared" si="1"/>
        <v>0</v>
      </c>
      <c r="I46" t="e">
        <f t="shared" si="2"/>
        <v>#NUM!</v>
      </c>
    </row>
    <row r="47" spans="5:9" x14ac:dyDescent="0.3">
      <c r="E47" s="1">
        <v>41</v>
      </c>
      <c r="F47" s="1">
        <f t="shared" si="3"/>
        <v>11</v>
      </c>
      <c r="G47">
        <f t="shared" si="0"/>
        <v>7.2847682119205295E-2</v>
      </c>
      <c r="H47" s="1">
        <f t="shared" si="1"/>
        <v>0.14569536423841059</v>
      </c>
      <c r="I47">
        <f t="shared" si="2"/>
        <v>2.6193845640165536</v>
      </c>
    </row>
    <row r="48" spans="5:9" x14ac:dyDescent="0.3">
      <c r="E48" s="1">
        <v>42</v>
      </c>
      <c r="F48" s="1">
        <f t="shared" si="3"/>
        <v>88</v>
      </c>
      <c r="G48">
        <f t="shared" si="0"/>
        <v>0.58278145695364236</v>
      </c>
      <c r="H48" s="1">
        <f t="shared" si="1"/>
        <v>1.1655629139072847</v>
      </c>
      <c r="I48">
        <f t="shared" si="2"/>
        <v>0.53994302233671787</v>
      </c>
    </row>
    <row r="49" spans="5:9" x14ac:dyDescent="0.3">
      <c r="E49" s="1">
        <v>43</v>
      </c>
      <c r="F49" s="1">
        <f t="shared" si="3"/>
        <v>23</v>
      </c>
      <c r="G49">
        <f t="shared" si="0"/>
        <v>0.15231788079470199</v>
      </c>
      <c r="H49" s="1">
        <f t="shared" si="1"/>
        <v>0.30463576158940397</v>
      </c>
      <c r="I49">
        <f t="shared" si="2"/>
        <v>1.8817856208857746</v>
      </c>
    </row>
    <row r="50" spans="5:9" x14ac:dyDescent="0.3">
      <c r="E50" s="1">
        <v>44</v>
      </c>
      <c r="F50" s="1">
        <f t="shared" si="3"/>
        <v>21</v>
      </c>
      <c r="G50">
        <f t="shared" si="0"/>
        <v>0.13907284768211919</v>
      </c>
      <c r="H50" s="1">
        <f t="shared" si="1"/>
        <v>0.27814569536423839</v>
      </c>
      <c r="I50">
        <f t="shared" si="2"/>
        <v>1.9727573990915015</v>
      </c>
    </row>
    <row r="51" spans="5:9" x14ac:dyDescent="0.3">
      <c r="E51" s="1">
        <v>45</v>
      </c>
      <c r="F51" s="1">
        <f t="shared" si="3"/>
        <v>7</v>
      </c>
      <c r="G51">
        <f t="shared" si="0"/>
        <v>4.6357615894039736E-2</v>
      </c>
      <c r="H51" s="1">
        <f t="shared" si="1"/>
        <v>9.2715231788079472E-2</v>
      </c>
      <c r="I51">
        <f t="shared" si="2"/>
        <v>3.0713696877596108</v>
      </c>
    </row>
    <row r="52" spans="5:9" x14ac:dyDescent="0.3">
      <c r="E52" s="1">
        <v>46</v>
      </c>
      <c r="F52" s="1">
        <f t="shared" si="3"/>
        <v>60</v>
      </c>
      <c r="G52">
        <f t="shared" si="0"/>
        <v>0.39735099337748342</v>
      </c>
      <c r="H52" s="1">
        <f t="shared" si="1"/>
        <v>0.79470198675496684</v>
      </c>
      <c r="I52">
        <f t="shared" si="2"/>
        <v>0.92293527459282365</v>
      </c>
    </row>
    <row r="53" spans="5:9" x14ac:dyDescent="0.3">
      <c r="E53" s="1">
        <v>47</v>
      </c>
      <c r="F53" s="1">
        <f t="shared" si="3"/>
        <v>129</v>
      </c>
      <c r="G53">
        <f t="shared" si="0"/>
        <v>0.85430463576158944</v>
      </c>
      <c r="H53" s="1">
        <f t="shared" si="1"/>
        <v>1.7086092715231789</v>
      </c>
      <c r="I53">
        <f t="shared" si="2"/>
        <v>0.15746743245325218</v>
      </c>
    </row>
    <row r="54" spans="5:9" x14ac:dyDescent="0.3">
      <c r="E54" s="1">
        <v>48</v>
      </c>
      <c r="F54" s="1">
        <f t="shared" si="3"/>
        <v>8</v>
      </c>
      <c r="G54">
        <f t="shared" si="0"/>
        <v>5.2980132450331126E-2</v>
      </c>
      <c r="H54" s="1">
        <f t="shared" si="1"/>
        <v>0.10596026490066225</v>
      </c>
      <c r="I54">
        <f t="shared" si="2"/>
        <v>2.9378382951350885</v>
      </c>
    </row>
    <row r="55" spans="5:9" x14ac:dyDescent="0.3">
      <c r="E55" s="1">
        <v>49</v>
      </c>
      <c r="F55" s="1">
        <f t="shared" si="3"/>
        <v>67</v>
      </c>
      <c r="G55">
        <f t="shared" si="0"/>
        <v>0.44370860927152317</v>
      </c>
      <c r="H55" s="1">
        <f t="shared" si="1"/>
        <v>0.88741721854304634</v>
      </c>
      <c r="I55">
        <f t="shared" si="2"/>
        <v>0.81258721742395834</v>
      </c>
    </row>
    <row r="56" spans="5:9" x14ac:dyDescent="0.3">
      <c r="E56" s="1">
        <v>50</v>
      </c>
      <c r="F56" s="1">
        <f t="shared" si="3"/>
        <v>27</v>
      </c>
      <c r="G56">
        <f t="shared" si="0"/>
        <v>0.17880794701986755</v>
      </c>
      <c r="H56" s="1">
        <f t="shared" si="1"/>
        <v>0.35761589403973509</v>
      </c>
      <c r="I56">
        <f t="shared" si="2"/>
        <v>1.7214429708105952</v>
      </c>
    </row>
    <row r="57" spans="5:9" x14ac:dyDescent="0.3">
      <c r="E57" s="1">
        <v>51</v>
      </c>
      <c r="F57" s="1">
        <f t="shared" si="3"/>
        <v>49</v>
      </c>
      <c r="G57">
        <f t="shared" si="0"/>
        <v>0.32450331125827814</v>
      </c>
      <c r="H57" s="1">
        <f t="shared" si="1"/>
        <v>0.64900662251655628</v>
      </c>
      <c r="I57">
        <f t="shared" si="2"/>
        <v>1.1254595387042978</v>
      </c>
    </row>
    <row r="58" spans="5:9" x14ac:dyDescent="0.3">
      <c r="E58" s="1">
        <v>52</v>
      </c>
      <c r="F58" s="1">
        <f t="shared" si="3"/>
        <v>52</v>
      </c>
      <c r="G58">
        <f t="shared" si="0"/>
        <v>0.3443708609271523</v>
      </c>
      <c r="H58" s="1">
        <f t="shared" si="1"/>
        <v>0.6887417218543046</v>
      </c>
      <c r="I58">
        <f t="shared" si="2"/>
        <v>1.066036118233497</v>
      </c>
    </row>
    <row r="59" spans="5:9" x14ac:dyDescent="0.3">
      <c r="E59" s="1">
        <v>53</v>
      </c>
      <c r="F59" s="1">
        <f t="shared" si="3"/>
        <v>73</v>
      </c>
      <c r="G59">
        <f t="shared" si="0"/>
        <v>0.48344370860927155</v>
      </c>
      <c r="H59" s="1">
        <f t="shared" si="1"/>
        <v>0.9668874172185431</v>
      </c>
      <c r="I59">
        <f t="shared" si="2"/>
        <v>0.72682039566653311</v>
      </c>
    </row>
    <row r="60" spans="5:9" x14ac:dyDescent="0.3">
      <c r="E60" s="1">
        <v>54</v>
      </c>
      <c r="F60" s="1">
        <f t="shared" si="3"/>
        <v>69</v>
      </c>
      <c r="G60">
        <f t="shared" si="0"/>
        <v>0.45695364238410596</v>
      </c>
      <c r="H60" s="1">
        <f t="shared" si="1"/>
        <v>0.91390728476821192</v>
      </c>
      <c r="I60">
        <f t="shared" si="2"/>
        <v>0.78317333221766494</v>
      </c>
    </row>
    <row r="61" spans="5:9" x14ac:dyDescent="0.3">
      <c r="E61" s="1">
        <v>55</v>
      </c>
      <c r="F61" s="1">
        <f t="shared" si="3"/>
        <v>41</v>
      </c>
      <c r="G61">
        <f t="shared" si="0"/>
        <v>0.27152317880794702</v>
      </c>
      <c r="H61" s="1">
        <f t="shared" si="1"/>
        <v>0.54304635761589404</v>
      </c>
      <c r="I61">
        <f t="shared" si="2"/>
        <v>1.3037077701106166</v>
      </c>
    </row>
    <row r="62" spans="5:9" x14ac:dyDescent="0.3">
      <c r="E62" s="1">
        <v>56</v>
      </c>
      <c r="F62" s="1">
        <f t="shared" si="3"/>
        <v>147</v>
      </c>
      <c r="G62">
        <f t="shared" si="0"/>
        <v>0.97350993377483441</v>
      </c>
      <c r="H62" s="1">
        <f t="shared" si="1"/>
        <v>1.9470198675496688</v>
      </c>
      <c r="I62">
        <f t="shared" si="2"/>
        <v>2.6847250036188052E-2</v>
      </c>
    </row>
    <row r="63" spans="5:9" x14ac:dyDescent="0.3">
      <c r="E63" s="1">
        <v>57</v>
      </c>
      <c r="F63" s="1">
        <f t="shared" si="3"/>
        <v>134</v>
      </c>
      <c r="G63">
        <f t="shared" si="0"/>
        <v>0.88741721854304634</v>
      </c>
      <c r="H63" s="1">
        <f t="shared" si="1"/>
        <v>1.7748344370860927</v>
      </c>
      <c r="I63">
        <f t="shared" si="2"/>
        <v>0.11944003686401299</v>
      </c>
    </row>
    <row r="64" spans="5:9" x14ac:dyDescent="0.3">
      <c r="E64" s="1">
        <v>58</v>
      </c>
      <c r="F64" s="1">
        <f t="shared" si="3"/>
        <v>43</v>
      </c>
      <c r="G64">
        <f t="shared" si="0"/>
        <v>0.28476821192052981</v>
      </c>
      <c r="H64" s="1">
        <f t="shared" si="1"/>
        <v>0.56953642384105962</v>
      </c>
      <c r="I64">
        <f t="shared" si="2"/>
        <v>1.2560797211213619</v>
      </c>
    </row>
    <row r="65" spans="5:9" x14ac:dyDescent="0.3">
      <c r="E65" s="1">
        <v>59</v>
      </c>
      <c r="F65" s="1">
        <f t="shared" si="3"/>
        <v>10</v>
      </c>
      <c r="G65">
        <f t="shared" si="0"/>
        <v>6.6225165562913912E-2</v>
      </c>
      <c r="H65" s="1">
        <f t="shared" si="1"/>
        <v>0.13245033112582782</v>
      </c>
      <c r="I65">
        <f t="shared" si="2"/>
        <v>2.7146947438208784</v>
      </c>
    </row>
    <row r="66" spans="5:9" x14ac:dyDescent="0.3">
      <c r="E66" s="1">
        <v>60</v>
      </c>
      <c r="F66" s="1">
        <f t="shared" si="3"/>
        <v>81</v>
      </c>
      <c r="G66">
        <f t="shared" si="0"/>
        <v>0.53642384105960261</v>
      </c>
      <c r="H66" s="1">
        <f t="shared" si="1"/>
        <v>1.0728476821192052</v>
      </c>
      <c r="I66">
        <f t="shared" si="2"/>
        <v>0.6228306821424856</v>
      </c>
    </row>
    <row r="67" spans="5:9" x14ac:dyDescent="0.3">
      <c r="E67" s="1">
        <v>61</v>
      </c>
      <c r="F67" s="1">
        <f t="shared" si="3"/>
        <v>125</v>
      </c>
      <c r="G67">
        <f t="shared" si="0"/>
        <v>0.82781456953642385</v>
      </c>
      <c r="H67" s="1">
        <f t="shared" si="1"/>
        <v>1.6556291390728477</v>
      </c>
      <c r="I67">
        <f t="shared" si="2"/>
        <v>0.18896609951262319</v>
      </c>
    </row>
    <row r="68" spans="5:9" x14ac:dyDescent="0.3">
      <c r="E68" s="1">
        <v>62</v>
      </c>
      <c r="F68" s="1">
        <f t="shared" si="3"/>
        <v>131</v>
      </c>
      <c r="G68">
        <f t="shared" si="0"/>
        <v>0.86754966887417218</v>
      </c>
      <c r="H68" s="1">
        <f t="shared" si="1"/>
        <v>1.7350993377483444</v>
      </c>
      <c r="I68">
        <f t="shared" si="2"/>
        <v>0.1420825136137728</v>
      </c>
    </row>
    <row r="69" spans="5:9" x14ac:dyDescent="0.3">
      <c r="E69" s="1">
        <v>63</v>
      </c>
      <c r="F69" s="1">
        <f t="shared" si="3"/>
        <v>22</v>
      </c>
      <c r="G69">
        <f t="shared" si="0"/>
        <v>0.14569536423841059</v>
      </c>
      <c r="H69" s="1">
        <f t="shared" si="1"/>
        <v>0.29139072847682118</v>
      </c>
      <c r="I69">
        <f t="shared" si="2"/>
        <v>1.9262373834566084</v>
      </c>
    </row>
    <row r="70" spans="5:9" x14ac:dyDescent="0.3">
      <c r="E70" s="1">
        <v>64</v>
      </c>
      <c r="F70" s="1">
        <f t="shared" si="3"/>
        <v>14</v>
      </c>
      <c r="G70">
        <f t="shared" si="0"/>
        <v>9.2715231788079472E-2</v>
      </c>
      <c r="H70" s="1">
        <f t="shared" si="1"/>
        <v>0.18543046357615894</v>
      </c>
      <c r="I70">
        <f t="shared" si="2"/>
        <v>2.3782225071996659</v>
      </c>
    </row>
    <row r="71" spans="5:9" x14ac:dyDescent="0.3">
      <c r="E71" s="1">
        <v>65</v>
      </c>
      <c r="F71" s="1">
        <f t="shared" si="3"/>
        <v>109</v>
      </c>
      <c r="G71">
        <f t="shared" si="0"/>
        <v>0.72185430463576161</v>
      </c>
      <c r="H71" s="1">
        <f t="shared" si="1"/>
        <v>1.4437086092715232</v>
      </c>
      <c r="I71">
        <f t="shared" si="2"/>
        <v>0.32593195458578061</v>
      </c>
    </row>
    <row r="72" spans="5:9" x14ac:dyDescent="0.3">
      <c r="E72" s="1">
        <v>66</v>
      </c>
      <c r="F72" s="1">
        <f t="shared" si="3"/>
        <v>19</v>
      </c>
      <c r="G72">
        <f t="shared" ref="G72:G135" si="4">F72/$H$4</f>
        <v>0.12582781456953643</v>
      </c>
      <c r="H72" s="1">
        <f t="shared" ref="H72:H135" si="5">G72*($L$12-$K$12)+$K$12</f>
        <v>0.25165562913907286</v>
      </c>
      <c r="I72">
        <f t="shared" ref="I72:I135" si="6">LN(G72)*(-1)</f>
        <v>2.072840857648484</v>
      </c>
    </row>
    <row r="73" spans="5:9" x14ac:dyDescent="0.3">
      <c r="E73" s="1">
        <v>67</v>
      </c>
      <c r="F73" s="1">
        <f t="shared" ref="F73:F136" si="7">MOD(($E$4*$F72+$G$4),$H$4)</f>
        <v>144</v>
      </c>
      <c r="G73">
        <f t="shared" si="4"/>
        <v>0.95364238410596025</v>
      </c>
      <c r="H73" s="1">
        <f t="shared" si="5"/>
        <v>1.9072847682119205</v>
      </c>
      <c r="I73">
        <f t="shared" si="6"/>
        <v>4.7466537238923724E-2</v>
      </c>
    </row>
    <row r="74" spans="5:9" x14ac:dyDescent="0.3">
      <c r="E74" s="1">
        <v>68</v>
      </c>
      <c r="F74" s="1">
        <f t="shared" si="7"/>
        <v>113</v>
      </c>
      <c r="G74">
        <f t="shared" si="4"/>
        <v>0.7483443708609272</v>
      </c>
      <c r="H74" s="1">
        <f t="shared" si="5"/>
        <v>1.4966887417218544</v>
      </c>
      <c r="I74">
        <f t="shared" si="6"/>
        <v>0.28989201810258369</v>
      </c>
    </row>
    <row r="75" spans="5:9" x14ac:dyDescent="0.3">
      <c r="E75" s="1">
        <v>69</v>
      </c>
      <c r="F75" s="1">
        <f t="shared" si="7"/>
        <v>47</v>
      </c>
      <c r="G75">
        <f t="shared" si="4"/>
        <v>0.31125827814569534</v>
      </c>
      <c r="H75" s="1">
        <f t="shared" si="5"/>
        <v>0.62251655629139069</v>
      </c>
      <c r="I75">
        <f t="shared" si="6"/>
        <v>1.1671322351048659</v>
      </c>
    </row>
    <row r="76" spans="5:9" x14ac:dyDescent="0.3">
      <c r="E76" s="1">
        <v>70</v>
      </c>
      <c r="F76" s="1">
        <f t="shared" si="7"/>
        <v>38</v>
      </c>
      <c r="G76">
        <f t="shared" si="4"/>
        <v>0.25165562913907286</v>
      </c>
      <c r="H76" s="1">
        <f t="shared" si="5"/>
        <v>0.50331125827814571</v>
      </c>
      <c r="I76">
        <f t="shared" si="6"/>
        <v>1.3796936770885386</v>
      </c>
    </row>
    <row r="77" spans="5:9" x14ac:dyDescent="0.3">
      <c r="E77" s="1">
        <v>71</v>
      </c>
      <c r="F77" s="1">
        <f t="shared" si="7"/>
        <v>126</v>
      </c>
      <c r="G77">
        <f t="shared" si="4"/>
        <v>0.83443708609271527</v>
      </c>
      <c r="H77" s="1">
        <f t="shared" si="5"/>
        <v>1.6688741721854305</v>
      </c>
      <c r="I77">
        <f t="shared" si="6"/>
        <v>0.18099792986344629</v>
      </c>
    </row>
    <row r="78" spans="5:9" x14ac:dyDescent="0.3">
      <c r="E78" s="1">
        <v>72</v>
      </c>
      <c r="F78" s="1">
        <f t="shared" si="7"/>
        <v>138</v>
      </c>
      <c r="G78">
        <f t="shared" si="4"/>
        <v>0.91390728476821192</v>
      </c>
      <c r="H78" s="1">
        <f t="shared" si="5"/>
        <v>1.8278145695364238</v>
      </c>
      <c r="I78">
        <f t="shared" si="6"/>
        <v>9.0026151657719627E-2</v>
      </c>
    </row>
    <row r="79" spans="5:9" x14ac:dyDescent="0.3">
      <c r="E79" s="1">
        <v>73</v>
      </c>
      <c r="F79" s="1">
        <f t="shared" si="7"/>
        <v>71</v>
      </c>
      <c r="G79">
        <f t="shared" si="4"/>
        <v>0.47019867549668876</v>
      </c>
      <c r="H79" s="1">
        <f t="shared" si="5"/>
        <v>0.94039735099337751</v>
      </c>
      <c r="I79">
        <f t="shared" si="6"/>
        <v>0.75459995977360883</v>
      </c>
    </row>
    <row r="80" spans="5:9" x14ac:dyDescent="0.3">
      <c r="E80" s="1">
        <v>74</v>
      </c>
      <c r="F80" s="1">
        <f t="shared" si="7"/>
        <v>55</v>
      </c>
      <c r="G80">
        <f t="shared" si="4"/>
        <v>0.36423841059602646</v>
      </c>
      <c r="H80" s="1">
        <f t="shared" si="5"/>
        <v>0.72847682119205293</v>
      </c>
      <c r="I80">
        <f t="shared" si="6"/>
        <v>1.0099466515824536</v>
      </c>
    </row>
    <row r="81" spans="5:9" x14ac:dyDescent="0.3">
      <c r="E81" s="1">
        <v>75</v>
      </c>
      <c r="F81" s="1">
        <f t="shared" si="7"/>
        <v>94</v>
      </c>
      <c r="G81">
        <f t="shared" si="4"/>
        <v>0.62251655629139069</v>
      </c>
      <c r="H81" s="1">
        <f t="shared" si="5"/>
        <v>1.2450331125827814</v>
      </c>
      <c r="I81">
        <f t="shared" si="6"/>
        <v>0.47398505454492051</v>
      </c>
    </row>
    <row r="82" spans="5:9" x14ac:dyDescent="0.3">
      <c r="E82" s="1">
        <v>76</v>
      </c>
      <c r="F82" s="1">
        <f t="shared" si="7"/>
        <v>65</v>
      </c>
      <c r="G82">
        <f t="shared" si="4"/>
        <v>0.43046357615894038</v>
      </c>
      <c r="H82" s="1">
        <f t="shared" si="5"/>
        <v>0.86092715231788075</v>
      </c>
      <c r="I82">
        <f t="shared" si="6"/>
        <v>0.84289256691928727</v>
      </c>
    </row>
    <row r="83" spans="5:9" x14ac:dyDescent="0.3">
      <c r="E83" s="1">
        <v>77</v>
      </c>
      <c r="F83" s="1">
        <f t="shared" si="7"/>
        <v>13</v>
      </c>
      <c r="G83">
        <f t="shared" si="4"/>
        <v>8.6092715231788075E-2</v>
      </c>
      <c r="H83" s="1">
        <f t="shared" si="5"/>
        <v>0.17218543046357615</v>
      </c>
      <c r="I83">
        <f t="shared" si="6"/>
        <v>2.4523304793533875</v>
      </c>
    </row>
    <row r="84" spans="5:9" x14ac:dyDescent="0.3">
      <c r="E84" s="1">
        <v>78</v>
      </c>
      <c r="F84" s="1">
        <f t="shared" si="7"/>
        <v>102</v>
      </c>
      <c r="G84">
        <f t="shared" si="4"/>
        <v>0.67549668874172186</v>
      </c>
      <c r="H84" s="1">
        <f t="shared" si="5"/>
        <v>1.3509933774834437</v>
      </c>
      <c r="I84">
        <f t="shared" si="6"/>
        <v>0.39230702353065322</v>
      </c>
    </row>
    <row r="85" spans="5:9" x14ac:dyDescent="0.3">
      <c r="E85" s="1">
        <v>79</v>
      </c>
      <c r="F85" s="1">
        <f t="shared" si="7"/>
        <v>121</v>
      </c>
      <c r="G85">
        <f t="shared" si="4"/>
        <v>0.80132450331125826</v>
      </c>
      <c r="H85" s="1">
        <f t="shared" si="5"/>
        <v>1.6026490066225165</v>
      </c>
      <c r="I85">
        <f t="shared" si="6"/>
        <v>0.22148929121818325</v>
      </c>
    </row>
    <row r="86" spans="5:9" x14ac:dyDescent="0.3">
      <c r="E86" s="1">
        <v>80</v>
      </c>
      <c r="F86" s="1">
        <f t="shared" si="7"/>
        <v>103</v>
      </c>
      <c r="G86">
        <f t="shared" si="4"/>
        <v>0.68211920529801329</v>
      </c>
      <c r="H86" s="1">
        <f t="shared" si="5"/>
        <v>1.3642384105960266</v>
      </c>
      <c r="I86">
        <f t="shared" si="6"/>
        <v>0.38255084858528848</v>
      </c>
    </row>
    <row r="87" spans="5:9" x14ac:dyDescent="0.3">
      <c r="E87" s="1">
        <v>81</v>
      </c>
      <c r="F87" s="1">
        <f t="shared" si="7"/>
        <v>128</v>
      </c>
      <c r="G87">
        <f t="shared" si="4"/>
        <v>0.84768211920529801</v>
      </c>
      <c r="H87" s="1">
        <f t="shared" si="5"/>
        <v>1.695364238410596</v>
      </c>
      <c r="I87">
        <f t="shared" si="6"/>
        <v>0.16524957289530717</v>
      </c>
    </row>
    <row r="88" spans="5:9" x14ac:dyDescent="0.3">
      <c r="E88" s="1">
        <v>82</v>
      </c>
      <c r="F88" s="1">
        <f t="shared" si="7"/>
        <v>1</v>
      </c>
      <c r="G88">
        <f t="shared" si="4"/>
        <v>6.6225165562913907E-3</v>
      </c>
      <c r="H88" s="1">
        <f t="shared" si="5"/>
        <v>1.3245033112582781E-2</v>
      </c>
      <c r="I88">
        <f t="shared" si="6"/>
        <v>5.0172798368149243</v>
      </c>
    </row>
    <row r="89" spans="5:9" x14ac:dyDescent="0.3">
      <c r="E89" s="1">
        <v>83</v>
      </c>
      <c r="F89" s="1">
        <f t="shared" si="7"/>
        <v>18</v>
      </c>
      <c r="G89">
        <f t="shared" si="4"/>
        <v>0.11920529801324503</v>
      </c>
      <c r="H89" s="1">
        <f t="shared" si="5"/>
        <v>0.23841059602649006</v>
      </c>
      <c r="I89">
        <f t="shared" si="6"/>
        <v>2.1269080789187598</v>
      </c>
    </row>
    <row r="90" spans="5:9" x14ac:dyDescent="0.3">
      <c r="E90" s="1">
        <v>84</v>
      </c>
      <c r="F90" s="1">
        <f t="shared" si="7"/>
        <v>137</v>
      </c>
      <c r="G90">
        <f t="shared" si="4"/>
        <v>0.9072847682119205</v>
      </c>
      <c r="H90" s="1">
        <f t="shared" si="5"/>
        <v>1.814569536423841</v>
      </c>
      <c r="I90">
        <f t="shared" si="6"/>
        <v>9.729891098679945E-2</v>
      </c>
    </row>
    <row r="91" spans="5:9" x14ac:dyDescent="0.3">
      <c r="E91" s="1">
        <v>85</v>
      </c>
      <c r="F91" s="1">
        <f t="shared" si="7"/>
        <v>64</v>
      </c>
      <c r="G91">
        <f t="shared" si="4"/>
        <v>0.42384105960264901</v>
      </c>
      <c r="H91" s="1">
        <f t="shared" si="5"/>
        <v>0.84768211920529801</v>
      </c>
      <c r="I91">
        <f t="shared" si="6"/>
        <v>0.85839675345525246</v>
      </c>
    </row>
    <row r="92" spans="5:9" x14ac:dyDescent="0.3">
      <c r="E92" s="1">
        <v>86</v>
      </c>
      <c r="F92" s="1">
        <f t="shared" si="7"/>
        <v>6</v>
      </c>
      <c r="G92">
        <f t="shared" si="4"/>
        <v>3.9735099337748346E-2</v>
      </c>
      <c r="H92" s="1">
        <f t="shared" si="5"/>
        <v>7.9470198675496692E-2</v>
      </c>
      <c r="I92">
        <f t="shared" si="6"/>
        <v>3.2255203675868693</v>
      </c>
    </row>
    <row r="93" spans="5:9" x14ac:dyDescent="0.3">
      <c r="E93" s="1">
        <v>87</v>
      </c>
      <c r="F93" s="1">
        <f t="shared" si="7"/>
        <v>53</v>
      </c>
      <c r="G93">
        <f t="shared" si="4"/>
        <v>0.35099337748344372</v>
      </c>
      <c r="H93" s="1">
        <f t="shared" si="5"/>
        <v>0.70198675496688745</v>
      </c>
      <c r="I93">
        <f t="shared" si="6"/>
        <v>1.0469879232628025</v>
      </c>
    </row>
    <row r="94" spans="5:9" x14ac:dyDescent="0.3">
      <c r="E94" s="1">
        <v>88</v>
      </c>
      <c r="F94" s="1">
        <f t="shared" si="7"/>
        <v>80</v>
      </c>
      <c r="G94">
        <f t="shared" si="4"/>
        <v>0.5298013245033113</v>
      </c>
      <c r="H94" s="1">
        <f t="shared" si="5"/>
        <v>1.0596026490066226</v>
      </c>
      <c r="I94">
        <f t="shared" si="6"/>
        <v>0.63525320214104264</v>
      </c>
    </row>
    <row r="95" spans="5:9" x14ac:dyDescent="0.3">
      <c r="E95" s="1">
        <v>89</v>
      </c>
      <c r="F95" s="1">
        <f t="shared" si="7"/>
        <v>118</v>
      </c>
      <c r="G95">
        <f t="shared" si="4"/>
        <v>0.7814569536423841</v>
      </c>
      <c r="H95" s="1">
        <f t="shared" si="5"/>
        <v>1.5629139072847682</v>
      </c>
      <c r="I95">
        <f t="shared" si="6"/>
        <v>0.24659521234925957</v>
      </c>
    </row>
    <row r="96" spans="5:9" x14ac:dyDescent="0.3">
      <c r="E96" s="1">
        <v>90</v>
      </c>
      <c r="F96" s="1">
        <f t="shared" si="7"/>
        <v>82</v>
      </c>
      <c r="G96">
        <f t="shared" si="4"/>
        <v>0.54304635761589404</v>
      </c>
      <c r="H96" s="1">
        <f t="shared" si="5"/>
        <v>1.0860927152317881</v>
      </c>
      <c r="I96">
        <f t="shared" si="6"/>
        <v>0.61056058955067127</v>
      </c>
    </row>
    <row r="97" spans="5:9" x14ac:dyDescent="0.3">
      <c r="E97" s="1">
        <v>91</v>
      </c>
      <c r="F97" s="1">
        <f t="shared" si="7"/>
        <v>132</v>
      </c>
      <c r="G97">
        <f t="shared" si="4"/>
        <v>0.8741721854304636</v>
      </c>
      <c r="H97" s="1">
        <f t="shared" si="5"/>
        <v>1.7483443708609272</v>
      </c>
      <c r="I97">
        <f t="shared" si="6"/>
        <v>0.13447791422855346</v>
      </c>
    </row>
    <row r="98" spans="5:9" x14ac:dyDescent="0.3">
      <c r="E98" s="1">
        <v>92</v>
      </c>
      <c r="F98" s="1">
        <f t="shared" si="7"/>
        <v>29</v>
      </c>
      <c r="G98">
        <f t="shared" si="4"/>
        <v>0.19205298013245034</v>
      </c>
      <c r="H98" s="1">
        <f t="shared" si="5"/>
        <v>0.38410596026490068</v>
      </c>
      <c r="I98">
        <f t="shared" si="6"/>
        <v>1.6499840068284501</v>
      </c>
    </row>
    <row r="99" spans="5:9" x14ac:dyDescent="0.3">
      <c r="E99" s="1">
        <v>93</v>
      </c>
      <c r="F99" s="1">
        <f t="shared" si="7"/>
        <v>63</v>
      </c>
      <c r="G99">
        <f t="shared" si="4"/>
        <v>0.41721854304635764</v>
      </c>
      <c r="H99" s="1">
        <f t="shared" si="5"/>
        <v>0.83443708609271527</v>
      </c>
      <c r="I99">
        <f t="shared" si="6"/>
        <v>0.8741451104233916</v>
      </c>
    </row>
    <row r="100" spans="5:9" x14ac:dyDescent="0.3">
      <c r="E100" s="1">
        <v>94</v>
      </c>
      <c r="F100" s="1">
        <f t="shared" si="7"/>
        <v>150</v>
      </c>
      <c r="G100">
        <f t="shared" si="4"/>
        <v>0.99337748344370858</v>
      </c>
      <c r="H100" s="1">
        <f t="shared" si="5"/>
        <v>1.9867549668874172</v>
      </c>
      <c r="I100">
        <f t="shared" si="6"/>
        <v>6.6445427186686131E-3</v>
      </c>
    </row>
    <row r="101" spans="5:9" x14ac:dyDescent="0.3">
      <c r="E101" s="1">
        <v>95</v>
      </c>
      <c r="F101" s="1">
        <f t="shared" si="7"/>
        <v>4</v>
      </c>
      <c r="G101">
        <f t="shared" si="4"/>
        <v>2.6490066225165563E-2</v>
      </c>
      <c r="H101" s="1">
        <f t="shared" si="5"/>
        <v>5.2980132450331126E-2</v>
      </c>
      <c r="I101">
        <f t="shared" si="6"/>
        <v>3.6309854756950335</v>
      </c>
    </row>
    <row r="102" spans="5:9" x14ac:dyDescent="0.3">
      <c r="E102" s="1">
        <v>96</v>
      </c>
      <c r="F102" s="1">
        <f t="shared" si="7"/>
        <v>39</v>
      </c>
      <c r="G102">
        <f t="shared" si="4"/>
        <v>0.25827814569536423</v>
      </c>
      <c r="H102" s="1">
        <f t="shared" si="5"/>
        <v>0.51655629139072845</v>
      </c>
      <c r="I102">
        <f t="shared" si="6"/>
        <v>1.353718190685278</v>
      </c>
    </row>
    <row r="103" spans="5:9" x14ac:dyDescent="0.3">
      <c r="E103" s="1">
        <v>97</v>
      </c>
      <c r="F103" s="1">
        <f t="shared" si="7"/>
        <v>133</v>
      </c>
      <c r="G103">
        <f t="shared" si="4"/>
        <v>0.88079470198675491</v>
      </c>
      <c r="H103" s="1">
        <f t="shared" si="5"/>
        <v>1.7615894039735098</v>
      </c>
      <c r="I103">
        <f t="shared" si="6"/>
        <v>0.12693070859317063</v>
      </c>
    </row>
    <row r="104" spans="5:9" x14ac:dyDescent="0.3">
      <c r="E104" s="1">
        <v>98</v>
      </c>
      <c r="F104" s="1">
        <f t="shared" si="7"/>
        <v>36</v>
      </c>
      <c r="G104">
        <f t="shared" si="4"/>
        <v>0.23841059602649006</v>
      </c>
      <c r="H104" s="1">
        <f t="shared" si="5"/>
        <v>0.47682119205298013</v>
      </c>
      <c r="I104">
        <f t="shared" si="6"/>
        <v>1.4337608983588144</v>
      </c>
    </row>
    <row r="105" spans="5:9" x14ac:dyDescent="0.3">
      <c r="E105" s="1">
        <v>99</v>
      </c>
      <c r="F105" s="1">
        <f t="shared" si="7"/>
        <v>112</v>
      </c>
      <c r="G105">
        <f t="shared" si="4"/>
        <v>0.74172185430463577</v>
      </c>
      <c r="H105" s="1">
        <f t="shared" si="5"/>
        <v>1.4834437086092715</v>
      </c>
      <c r="I105">
        <f t="shared" si="6"/>
        <v>0.29878096551982974</v>
      </c>
    </row>
    <row r="106" spans="5:9" x14ac:dyDescent="0.3">
      <c r="E106" s="1">
        <v>100</v>
      </c>
      <c r="F106" s="1">
        <f t="shared" si="7"/>
        <v>40</v>
      </c>
      <c r="G106">
        <f t="shared" si="4"/>
        <v>0.26490066225165565</v>
      </c>
      <c r="H106" s="1">
        <f t="shared" si="5"/>
        <v>0.5298013245033113</v>
      </c>
      <c r="I106">
        <f t="shared" si="6"/>
        <v>1.328400382700988</v>
      </c>
    </row>
    <row r="107" spans="5:9" x14ac:dyDescent="0.3">
      <c r="E107" s="1">
        <v>101</v>
      </c>
      <c r="F107" s="1">
        <f t="shared" si="7"/>
        <v>140</v>
      </c>
      <c r="G107">
        <f t="shared" si="4"/>
        <v>0.92715231788079466</v>
      </c>
      <c r="H107" s="1">
        <f t="shared" si="5"/>
        <v>1.8543046357615893</v>
      </c>
      <c r="I107">
        <f t="shared" si="6"/>
        <v>7.5637414205620077E-2</v>
      </c>
    </row>
    <row r="108" spans="5:9" x14ac:dyDescent="0.3">
      <c r="E108" s="1">
        <v>102</v>
      </c>
      <c r="F108" s="1">
        <f t="shared" si="7"/>
        <v>85</v>
      </c>
      <c r="G108">
        <f t="shared" si="4"/>
        <v>0.5629139072847682</v>
      </c>
      <c r="H108" s="1">
        <f t="shared" si="5"/>
        <v>1.1258278145695364</v>
      </c>
      <c r="I108">
        <f t="shared" si="6"/>
        <v>0.57462858032460784</v>
      </c>
    </row>
    <row r="109" spans="5:9" x14ac:dyDescent="0.3">
      <c r="E109" s="1">
        <v>103</v>
      </c>
      <c r="F109" s="1">
        <f t="shared" si="7"/>
        <v>2</v>
      </c>
      <c r="G109">
        <f t="shared" si="4"/>
        <v>1.3245033112582781E-2</v>
      </c>
      <c r="H109" s="1">
        <f t="shared" si="5"/>
        <v>2.6490066225165563E-2</v>
      </c>
      <c r="I109">
        <f t="shared" si="6"/>
        <v>4.3241326562549789</v>
      </c>
    </row>
    <row r="110" spans="5:9" x14ac:dyDescent="0.3">
      <c r="E110" s="1">
        <v>104</v>
      </c>
      <c r="F110" s="1">
        <f t="shared" si="7"/>
        <v>25</v>
      </c>
      <c r="G110">
        <f t="shared" si="4"/>
        <v>0.16556291390728478</v>
      </c>
      <c r="H110" s="1">
        <f t="shared" si="5"/>
        <v>0.33112582781456956</v>
      </c>
      <c r="I110">
        <f t="shared" si="6"/>
        <v>1.7984040119467235</v>
      </c>
    </row>
    <row r="111" spans="5:9" x14ac:dyDescent="0.3">
      <c r="E111" s="1">
        <v>105</v>
      </c>
      <c r="F111" s="1">
        <f t="shared" si="7"/>
        <v>35</v>
      </c>
      <c r="G111">
        <f t="shared" si="4"/>
        <v>0.23178807947019867</v>
      </c>
      <c r="H111" s="1">
        <f t="shared" si="5"/>
        <v>0.46357615894039733</v>
      </c>
      <c r="I111">
        <f t="shared" si="6"/>
        <v>1.4619317753255108</v>
      </c>
    </row>
    <row r="112" spans="5:9" x14ac:dyDescent="0.3">
      <c r="E112" s="1">
        <v>106</v>
      </c>
      <c r="F112" s="1">
        <f t="shared" si="7"/>
        <v>105</v>
      </c>
      <c r="G112">
        <f t="shared" si="4"/>
        <v>0.69536423841059603</v>
      </c>
      <c r="H112" s="1">
        <f t="shared" si="5"/>
        <v>1.3907284768211921</v>
      </c>
      <c r="I112">
        <f t="shared" si="6"/>
        <v>0.36331948665740094</v>
      </c>
    </row>
    <row r="113" spans="5:9" x14ac:dyDescent="0.3">
      <c r="E113" s="1">
        <v>107</v>
      </c>
      <c r="F113" s="1">
        <f t="shared" si="7"/>
        <v>142</v>
      </c>
      <c r="G113">
        <f t="shared" si="4"/>
        <v>0.94039735099337751</v>
      </c>
      <c r="H113" s="1">
        <f t="shared" si="5"/>
        <v>1.880794701986755</v>
      </c>
      <c r="I113">
        <f t="shared" si="6"/>
        <v>6.1452779213663565E-2</v>
      </c>
    </row>
    <row r="114" spans="5:9" x14ac:dyDescent="0.3">
      <c r="E114" s="1">
        <v>108</v>
      </c>
      <c r="F114" s="1">
        <f t="shared" si="7"/>
        <v>99</v>
      </c>
      <c r="G114">
        <f t="shared" si="4"/>
        <v>0.6556291390728477</v>
      </c>
      <c r="H114" s="1">
        <f t="shared" si="5"/>
        <v>1.3112582781456954</v>
      </c>
      <c r="I114">
        <f t="shared" si="6"/>
        <v>0.42215998668033439</v>
      </c>
    </row>
    <row r="115" spans="5:9" x14ac:dyDescent="0.3">
      <c r="E115" s="1">
        <v>109</v>
      </c>
      <c r="F115" s="1">
        <f t="shared" si="7"/>
        <v>100</v>
      </c>
      <c r="G115">
        <f t="shared" si="4"/>
        <v>0.66225165562913912</v>
      </c>
      <c r="H115" s="1">
        <f t="shared" si="5"/>
        <v>1.3245033112582782</v>
      </c>
      <c r="I115">
        <f t="shared" si="6"/>
        <v>0.41210965082683287</v>
      </c>
    </row>
    <row r="116" spans="5:9" x14ac:dyDescent="0.3">
      <c r="E116" s="1">
        <v>110</v>
      </c>
      <c r="F116" s="1">
        <f t="shared" si="7"/>
        <v>107</v>
      </c>
      <c r="G116">
        <f t="shared" si="4"/>
        <v>0.70860927152317876</v>
      </c>
      <c r="H116" s="1">
        <f t="shared" si="5"/>
        <v>1.4172185430463575</v>
      </c>
      <c r="I116">
        <f t="shared" si="6"/>
        <v>0.34445100235301823</v>
      </c>
    </row>
    <row r="117" spans="5:9" x14ac:dyDescent="0.3">
      <c r="E117" s="1">
        <v>111</v>
      </c>
      <c r="F117" s="1">
        <f t="shared" si="7"/>
        <v>5</v>
      </c>
      <c r="G117">
        <f t="shared" si="4"/>
        <v>3.3112582781456956E-2</v>
      </c>
      <c r="H117" s="1">
        <f t="shared" si="5"/>
        <v>6.6225165562913912E-2</v>
      </c>
      <c r="I117">
        <f t="shared" si="6"/>
        <v>3.4078419243808238</v>
      </c>
    </row>
    <row r="118" spans="5:9" x14ac:dyDescent="0.3">
      <c r="E118" s="1">
        <v>112</v>
      </c>
      <c r="F118" s="1">
        <f t="shared" si="7"/>
        <v>46</v>
      </c>
      <c r="G118">
        <f t="shared" si="4"/>
        <v>0.30463576158940397</v>
      </c>
      <c r="H118" s="1">
        <f t="shared" si="5"/>
        <v>0.60927152317880795</v>
      </c>
      <c r="I118">
        <f t="shared" si="6"/>
        <v>1.1886384403258292</v>
      </c>
    </row>
    <row r="119" spans="5:9" x14ac:dyDescent="0.3">
      <c r="E119" s="1">
        <v>113</v>
      </c>
      <c r="F119" s="1">
        <f t="shared" si="7"/>
        <v>31</v>
      </c>
      <c r="G119">
        <f t="shared" si="4"/>
        <v>0.20529801324503311</v>
      </c>
      <c r="H119" s="1">
        <f t="shared" si="5"/>
        <v>0.41059602649006621</v>
      </c>
      <c r="I119">
        <f t="shared" si="6"/>
        <v>1.583292632329778</v>
      </c>
    </row>
    <row r="120" spans="5:9" x14ac:dyDescent="0.3">
      <c r="E120" s="1">
        <v>114</v>
      </c>
      <c r="F120" s="1">
        <f t="shared" si="7"/>
        <v>77</v>
      </c>
      <c r="G120">
        <f t="shared" si="4"/>
        <v>0.50993377483443714</v>
      </c>
      <c r="H120" s="1">
        <f t="shared" si="5"/>
        <v>1.0198675496688743</v>
      </c>
      <c r="I120">
        <f t="shared" si="6"/>
        <v>0.67347441496124039</v>
      </c>
    </row>
    <row r="121" spans="5:9" x14ac:dyDescent="0.3">
      <c r="E121" s="1">
        <v>115</v>
      </c>
      <c r="F121" s="1">
        <f t="shared" si="7"/>
        <v>97</v>
      </c>
      <c r="G121">
        <f t="shared" si="4"/>
        <v>0.64238410596026485</v>
      </c>
      <c r="H121" s="1">
        <f t="shared" si="5"/>
        <v>1.2847682119205297</v>
      </c>
      <c r="I121">
        <f t="shared" si="6"/>
        <v>0.44256885831154158</v>
      </c>
    </row>
    <row r="122" spans="5:9" x14ac:dyDescent="0.3">
      <c r="E122" s="1">
        <v>116</v>
      </c>
      <c r="F122" s="1">
        <f t="shared" si="7"/>
        <v>86</v>
      </c>
      <c r="G122">
        <f t="shared" si="4"/>
        <v>0.56953642384105962</v>
      </c>
      <c r="H122" s="1">
        <f t="shared" si="5"/>
        <v>1.1390728476821192</v>
      </c>
      <c r="I122">
        <f t="shared" si="6"/>
        <v>0.56293254056141651</v>
      </c>
    </row>
    <row r="123" spans="5:9" x14ac:dyDescent="0.3">
      <c r="E123" s="1">
        <v>117</v>
      </c>
      <c r="F123" s="1">
        <f t="shared" si="7"/>
        <v>9</v>
      </c>
      <c r="G123">
        <f t="shared" si="4"/>
        <v>5.9602649006622516E-2</v>
      </c>
      <c r="H123" s="1">
        <f t="shared" si="5"/>
        <v>0.11920529801324503</v>
      </c>
      <c r="I123">
        <f t="shared" si="6"/>
        <v>2.8200552594787052</v>
      </c>
    </row>
    <row r="124" spans="5:9" x14ac:dyDescent="0.3">
      <c r="E124" s="1">
        <v>118</v>
      </c>
      <c r="F124" s="1">
        <f t="shared" si="7"/>
        <v>74</v>
      </c>
      <c r="G124">
        <f t="shared" si="4"/>
        <v>0.49006622516556292</v>
      </c>
      <c r="H124" s="1">
        <f t="shared" si="5"/>
        <v>0.98013245033112584</v>
      </c>
      <c r="I124">
        <f t="shared" si="6"/>
        <v>0.71321474361075454</v>
      </c>
    </row>
    <row r="125" spans="5:9" x14ac:dyDescent="0.3">
      <c r="E125" s="1">
        <v>119</v>
      </c>
      <c r="F125" s="1">
        <f t="shared" si="7"/>
        <v>76</v>
      </c>
      <c r="G125">
        <f t="shared" si="4"/>
        <v>0.50331125827814571</v>
      </c>
      <c r="H125" s="1">
        <f t="shared" si="5"/>
        <v>1.0066225165562914</v>
      </c>
      <c r="I125">
        <f t="shared" si="6"/>
        <v>0.68654649652859323</v>
      </c>
    </row>
    <row r="126" spans="5:9" x14ac:dyDescent="0.3">
      <c r="E126" s="1">
        <v>120</v>
      </c>
      <c r="F126" s="1">
        <f t="shared" si="7"/>
        <v>90</v>
      </c>
      <c r="G126">
        <f t="shared" si="4"/>
        <v>0.59602649006622521</v>
      </c>
      <c r="H126" s="1">
        <f t="shared" si="5"/>
        <v>1.1920529801324504</v>
      </c>
      <c r="I126">
        <f t="shared" si="6"/>
        <v>0.51747016648465916</v>
      </c>
    </row>
    <row r="127" spans="5:9" x14ac:dyDescent="0.3">
      <c r="E127" s="1">
        <v>121</v>
      </c>
      <c r="F127" s="1">
        <f t="shared" si="7"/>
        <v>37</v>
      </c>
      <c r="G127">
        <f t="shared" si="4"/>
        <v>0.24503311258278146</v>
      </c>
      <c r="H127" s="1">
        <f t="shared" si="5"/>
        <v>0.49006622516556292</v>
      </c>
      <c r="I127">
        <f t="shared" si="6"/>
        <v>1.4063619241706999</v>
      </c>
    </row>
    <row r="128" spans="5:9" x14ac:dyDescent="0.3">
      <c r="E128" s="1">
        <v>122</v>
      </c>
      <c r="F128" s="1">
        <f t="shared" si="7"/>
        <v>119</v>
      </c>
      <c r="G128">
        <f t="shared" si="4"/>
        <v>0.78807947019867552</v>
      </c>
      <c r="H128" s="1">
        <f t="shared" si="5"/>
        <v>1.576158940397351</v>
      </c>
      <c r="I128">
        <f t="shared" si="6"/>
        <v>0.23815634370339492</v>
      </c>
    </row>
    <row r="129" spans="5:9" x14ac:dyDescent="0.3">
      <c r="E129" s="1">
        <v>123</v>
      </c>
      <c r="F129" s="1">
        <f t="shared" si="7"/>
        <v>89</v>
      </c>
      <c r="G129">
        <f t="shared" si="4"/>
        <v>0.58940397350993379</v>
      </c>
      <c r="H129" s="1">
        <f t="shared" si="5"/>
        <v>1.1788079470198676</v>
      </c>
      <c r="I129">
        <f t="shared" si="6"/>
        <v>0.52864346708278442</v>
      </c>
    </row>
    <row r="130" spans="5:9" x14ac:dyDescent="0.3">
      <c r="E130" s="1">
        <v>124</v>
      </c>
      <c r="F130" s="1">
        <f t="shared" si="7"/>
        <v>30</v>
      </c>
      <c r="G130">
        <f t="shared" si="4"/>
        <v>0.19867549668874171</v>
      </c>
      <c r="H130" s="1">
        <f t="shared" si="5"/>
        <v>0.39735099337748342</v>
      </c>
      <c r="I130">
        <f t="shared" si="6"/>
        <v>1.616082455152769</v>
      </c>
    </row>
    <row r="131" spans="5:9" x14ac:dyDescent="0.3">
      <c r="E131" s="1">
        <v>125</v>
      </c>
      <c r="F131" s="1">
        <f t="shared" si="7"/>
        <v>70</v>
      </c>
      <c r="G131">
        <f t="shared" si="4"/>
        <v>0.46357615894039733</v>
      </c>
      <c r="H131" s="1">
        <f t="shared" si="5"/>
        <v>0.92715231788079466</v>
      </c>
      <c r="I131">
        <f t="shared" si="6"/>
        <v>0.76878459476556538</v>
      </c>
    </row>
    <row r="132" spans="5:9" x14ac:dyDescent="0.3">
      <c r="E132" s="1">
        <v>126</v>
      </c>
      <c r="F132" s="1">
        <f t="shared" si="7"/>
        <v>48</v>
      </c>
      <c r="G132">
        <f t="shared" si="4"/>
        <v>0.31788079470198677</v>
      </c>
      <c r="H132" s="1">
        <f t="shared" si="5"/>
        <v>0.63576158940397354</v>
      </c>
      <c r="I132">
        <f t="shared" si="6"/>
        <v>1.1460788259070334</v>
      </c>
    </row>
    <row r="133" spans="5:9" x14ac:dyDescent="0.3">
      <c r="E133" s="1">
        <v>127</v>
      </c>
      <c r="F133" s="1">
        <f t="shared" si="7"/>
        <v>45</v>
      </c>
      <c r="G133">
        <f t="shared" si="4"/>
        <v>0.29801324503311261</v>
      </c>
      <c r="H133" s="1">
        <f t="shared" si="5"/>
        <v>0.59602649006622521</v>
      </c>
      <c r="I133">
        <f t="shared" si="6"/>
        <v>1.2106173470446044</v>
      </c>
    </row>
    <row r="134" spans="5:9" x14ac:dyDescent="0.3">
      <c r="E134" s="1">
        <v>128</v>
      </c>
      <c r="F134" s="1">
        <f t="shared" si="7"/>
        <v>24</v>
      </c>
      <c r="G134">
        <f t="shared" si="4"/>
        <v>0.15894039735099338</v>
      </c>
      <c r="H134" s="1">
        <f t="shared" si="5"/>
        <v>0.31788079470198677</v>
      </c>
      <c r="I134">
        <f t="shared" si="6"/>
        <v>1.8392260064669788</v>
      </c>
    </row>
    <row r="135" spans="5:9" x14ac:dyDescent="0.3">
      <c r="E135" s="1">
        <v>129</v>
      </c>
      <c r="F135" s="1">
        <f t="shared" si="7"/>
        <v>28</v>
      </c>
      <c r="G135">
        <f t="shared" si="4"/>
        <v>0.18543046357615894</v>
      </c>
      <c r="H135" s="1">
        <f t="shared" si="5"/>
        <v>0.37086092715231789</v>
      </c>
      <c r="I135">
        <f t="shared" si="6"/>
        <v>1.6850753266397205</v>
      </c>
    </row>
    <row r="136" spans="5:9" x14ac:dyDescent="0.3">
      <c r="E136" s="1">
        <v>130</v>
      </c>
      <c r="F136" s="1">
        <f t="shared" si="7"/>
        <v>56</v>
      </c>
      <c r="G136">
        <f t="shared" ref="G136:G156" si="8">F136/$H$4</f>
        <v>0.37086092715231789</v>
      </c>
      <c r="H136" s="1">
        <f t="shared" ref="H136:H156" si="9">G136*($L$12-$K$12)+$K$12</f>
        <v>0.74172185430463577</v>
      </c>
      <c r="I136">
        <f t="shared" ref="I136:I156" si="10">LN(G136)*(-1)</f>
        <v>0.99192814607977509</v>
      </c>
    </row>
    <row r="137" spans="5:9" x14ac:dyDescent="0.3">
      <c r="E137" s="1">
        <v>131</v>
      </c>
      <c r="F137" s="1">
        <f t="shared" ref="F137:F156" si="11">MOD(($E$4*$F136+$G$4),$H$4)</f>
        <v>101</v>
      </c>
      <c r="G137">
        <f t="shared" si="8"/>
        <v>0.66887417218543044</v>
      </c>
      <c r="H137" s="1">
        <f t="shared" si="9"/>
        <v>1.3377483443708609</v>
      </c>
      <c r="I137">
        <f t="shared" si="10"/>
        <v>0.40215931997366494</v>
      </c>
    </row>
    <row r="138" spans="5:9" x14ac:dyDescent="0.3">
      <c r="E138" s="1">
        <v>132</v>
      </c>
      <c r="F138" s="1">
        <f t="shared" si="11"/>
        <v>114</v>
      </c>
      <c r="G138">
        <f t="shared" si="8"/>
        <v>0.75496688741721851</v>
      </c>
      <c r="H138" s="1">
        <f t="shared" si="9"/>
        <v>1.509933774834437</v>
      </c>
      <c r="I138">
        <f t="shared" si="10"/>
        <v>0.2810813884204289</v>
      </c>
    </row>
    <row r="139" spans="5:9" x14ac:dyDescent="0.3">
      <c r="E139" s="1">
        <v>133</v>
      </c>
      <c r="F139" s="1">
        <f t="shared" si="11"/>
        <v>54</v>
      </c>
      <c r="G139">
        <f t="shared" si="8"/>
        <v>0.35761589403973509</v>
      </c>
      <c r="H139" s="1">
        <f t="shared" si="9"/>
        <v>0.71523178807947019</v>
      </c>
      <c r="I139">
        <f t="shared" si="10"/>
        <v>1.02829579025065</v>
      </c>
    </row>
    <row r="140" spans="5:9" x14ac:dyDescent="0.3">
      <c r="E140" s="1">
        <v>134</v>
      </c>
      <c r="F140" s="1">
        <f t="shared" si="11"/>
        <v>87</v>
      </c>
      <c r="G140">
        <f t="shared" si="8"/>
        <v>0.57615894039735094</v>
      </c>
      <c r="H140" s="1">
        <f t="shared" si="9"/>
        <v>1.1523178807947019</v>
      </c>
      <c r="I140">
        <f t="shared" si="10"/>
        <v>0.5513717181603407</v>
      </c>
    </row>
    <row r="141" spans="5:9" x14ac:dyDescent="0.3">
      <c r="E141" s="1">
        <v>135</v>
      </c>
      <c r="F141" s="1">
        <f t="shared" si="11"/>
        <v>16</v>
      </c>
      <c r="G141">
        <f t="shared" si="8"/>
        <v>0.10596026490066225</v>
      </c>
      <c r="H141" s="1">
        <f t="shared" si="9"/>
        <v>0.2119205298013245</v>
      </c>
      <c r="I141">
        <f t="shared" si="10"/>
        <v>2.2446911145751431</v>
      </c>
    </row>
    <row r="142" spans="5:9" x14ac:dyDescent="0.3">
      <c r="E142" s="1">
        <v>136</v>
      </c>
      <c r="F142" s="1">
        <f t="shared" si="11"/>
        <v>123</v>
      </c>
      <c r="G142">
        <f t="shared" si="8"/>
        <v>0.81456953642384111</v>
      </c>
      <c r="H142" s="1">
        <f t="shared" si="9"/>
        <v>1.6291390728476822</v>
      </c>
      <c r="I142">
        <f t="shared" si="10"/>
        <v>0.20509548144250678</v>
      </c>
    </row>
    <row r="143" spans="5:9" x14ac:dyDescent="0.3">
      <c r="E143" s="1">
        <v>137</v>
      </c>
      <c r="F143" s="1">
        <f t="shared" si="11"/>
        <v>117</v>
      </c>
      <c r="G143">
        <f t="shared" si="8"/>
        <v>0.77483443708609268</v>
      </c>
      <c r="H143" s="1">
        <f t="shared" si="9"/>
        <v>1.5496688741721854</v>
      </c>
      <c r="I143">
        <f t="shared" si="10"/>
        <v>0.25510590201716826</v>
      </c>
    </row>
    <row r="144" spans="5:9" x14ac:dyDescent="0.3">
      <c r="E144" s="1">
        <v>138</v>
      </c>
      <c r="F144" s="1">
        <f t="shared" si="11"/>
        <v>75</v>
      </c>
      <c r="G144">
        <f t="shared" si="8"/>
        <v>0.49668874172185429</v>
      </c>
      <c r="H144" s="1">
        <f t="shared" si="9"/>
        <v>0.99337748344370858</v>
      </c>
      <c r="I144">
        <f t="shared" si="10"/>
        <v>0.69979172327861394</v>
      </c>
    </row>
    <row r="145" spans="5:9" x14ac:dyDescent="0.3">
      <c r="E145" s="1">
        <v>139</v>
      </c>
      <c r="F145" s="1">
        <f t="shared" si="11"/>
        <v>83</v>
      </c>
      <c r="G145">
        <f t="shared" si="8"/>
        <v>0.54966887417218546</v>
      </c>
      <c r="H145" s="1">
        <f t="shared" si="9"/>
        <v>1.0993377483443709</v>
      </c>
      <c r="I145">
        <f t="shared" si="10"/>
        <v>0.59843922901832636</v>
      </c>
    </row>
    <row r="146" spans="5:9" x14ac:dyDescent="0.3">
      <c r="E146" s="1">
        <v>140</v>
      </c>
      <c r="F146" s="1">
        <f t="shared" si="11"/>
        <v>139</v>
      </c>
      <c r="G146">
        <f t="shared" si="8"/>
        <v>0.92052980132450335</v>
      </c>
      <c r="H146" s="1">
        <f t="shared" si="9"/>
        <v>1.8410596026490067</v>
      </c>
      <c r="I146">
        <f t="shared" si="10"/>
        <v>8.2805903684232532E-2</v>
      </c>
    </row>
    <row r="147" spans="5:9" x14ac:dyDescent="0.3">
      <c r="E147" s="1">
        <v>141</v>
      </c>
      <c r="F147" s="1">
        <f t="shared" si="11"/>
        <v>78</v>
      </c>
      <c r="G147">
        <f t="shared" si="8"/>
        <v>0.51655629139072845</v>
      </c>
      <c r="H147" s="1">
        <f t="shared" si="9"/>
        <v>1.0331125827814569</v>
      </c>
      <c r="I147">
        <f t="shared" si="10"/>
        <v>0.66057101012533259</v>
      </c>
    </row>
    <row r="148" spans="5:9" x14ac:dyDescent="0.3">
      <c r="E148" s="1">
        <v>142</v>
      </c>
      <c r="F148" s="1">
        <f t="shared" si="11"/>
        <v>104</v>
      </c>
      <c r="G148">
        <f t="shared" si="8"/>
        <v>0.6887417218543046</v>
      </c>
      <c r="H148" s="1">
        <f t="shared" si="9"/>
        <v>1.3774834437086092</v>
      </c>
      <c r="I148">
        <f t="shared" si="10"/>
        <v>0.37288893767355169</v>
      </c>
    </row>
    <row r="149" spans="5:9" x14ac:dyDescent="0.3">
      <c r="E149" s="1">
        <v>143</v>
      </c>
      <c r="F149" s="1">
        <f t="shared" si="11"/>
        <v>135</v>
      </c>
      <c r="G149">
        <f t="shared" si="8"/>
        <v>0.89403973509933776</v>
      </c>
      <c r="H149" s="1">
        <f t="shared" si="9"/>
        <v>1.7880794701986755</v>
      </c>
      <c r="I149">
        <f t="shared" si="10"/>
        <v>0.11200505837649487</v>
      </c>
    </row>
    <row r="150" spans="5:9" x14ac:dyDescent="0.3">
      <c r="E150" s="1">
        <v>144</v>
      </c>
      <c r="F150" s="1">
        <f t="shared" si="11"/>
        <v>50</v>
      </c>
      <c r="G150">
        <f t="shared" si="8"/>
        <v>0.33112582781456956</v>
      </c>
      <c r="H150" s="1">
        <f t="shared" si="9"/>
        <v>0.66225165562913912</v>
      </c>
      <c r="I150">
        <f t="shared" si="10"/>
        <v>1.1052568313867781</v>
      </c>
    </row>
    <row r="151" spans="5:9" x14ac:dyDescent="0.3">
      <c r="E151" s="1">
        <v>145</v>
      </c>
      <c r="F151" s="1">
        <f t="shared" si="11"/>
        <v>59</v>
      </c>
      <c r="G151">
        <f t="shared" si="8"/>
        <v>0.39072847682119205</v>
      </c>
      <c r="H151" s="1">
        <f t="shared" si="9"/>
        <v>0.7814569536423841</v>
      </c>
      <c r="I151">
        <f t="shared" si="10"/>
        <v>0.93974239290920492</v>
      </c>
    </row>
    <row r="152" spans="5:9" x14ac:dyDescent="0.3">
      <c r="E152" s="1">
        <v>146</v>
      </c>
      <c r="F152" s="1">
        <f t="shared" si="11"/>
        <v>122</v>
      </c>
      <c r="G152">
        <f t="shared" si="8"/>
        <v>0.80794701986754969</v>
      </c>
      <c r="H152" s="1">
        <f t="shared" si="9"/>
        <v>1.6158940397350994</v>
      </c>
      <c r="I152">
        <f t="shared" si="10"/>
        <v>0.21325879208166776</v>
      </c>
    </row>
    <row r="153" spans="5:9" x14ac:dyDescent="0.3">
      <c r="E153" s="1">
        <v>147</v>
      </c>
      <c r="F153" s="1">
        <f t="shared" si="11"/>
        <v>110</v>
      </c>
      <c r="G153">
        <f t="shared" si="8"/>
        <v>0.72847682119205293</v>
      </c>
      <c r="H153" s="1">
        <f t="shared" si="9"/>
        <v>1.4569536423841059</v>
      </c>
      <c r="I153">
        <f t="shared" si="10"/>
        <v>0.31679947102250816</v>
      </c>
    </row>
    <row r="154" spans="5:9" x14ac:dyDescent="0.3">
      <c r="E154" s="1">
        <v>148</v>
      </c>
      <c r="F154" s="1">
        <f t="shared" si="11"/>
        <v>26</v>
      </c>
      <c r="G154">
        <f t="shared" si="8"/>
        <v>0.17218543046357615</v>
      </c>
      <c r="H154" s="1">
        <f t="shared" si="9"/>
        <v>0.3443708609271523</v>
      </c>
      <c r="I154">
        <f t="shared" si="10"/>
        <v>1.7591832987934424</v>
      </c>
    </row>
    <row r="155" spans="5:9" x14ac:dyDescent="0.3">
      <c r="E155" s="1">
        <v>149</v>
      </c>
      <c r="F155" s="1">
        <f t="shared" si="11"/>
        <v>42</v>
      </c>
      <c r="G155">
        <f t="shared" si="8"/>
        <v>0.27814569536423839</v>
      </c>
      <c r="H155" s="1">
        <f t="shared" si="9"/>
        <v>0.55629139072847678</v>
      </c>
      <c r="I155">
        <f t="shared" si="10"/>
        <v>1.2796102185315561</v>
      </c>
    </row>
    <row r="156" spans="5:9" x14ac:dyDescent="0.3">
      <c r="E156" s="1">
        <v>150</v>
      </c>
      <c r="F156" s="1">
        <f t="shared" si="11"/>
        <v>3</v>
      </c>
      <c r="G156">
        <f t="shared" si="8"/>
        <v>1.9867549668874173E-2</v>
      </c>
      <c r="H156" s="1">
        <f t="shared" si="9"/>
        <v>3.9735099337748346E-2</v>
      </c>
      <c r="I156">
        <f t="shared" si="10"/>
        <v>3.9186675481468147</v>
      </c>
    </row>
    <row r="157" spans="5:9" x14ac:dyDescent="0.3">
      <c r="E157" s="1"/>
    </row>
    <row r="158" spans="5:9" x14ac:dyDescent="0.3">
      <c r="E158" s="1"/>
    </row>
    <row r="159" spans="5:9" x14ac:dyDescent="0.3">
      <c r="E159" s="1"/>
    </row>
    <row r="160" spans="5:9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</sheetData>
  <mergeCells count="1"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Widhi Wijaya</dc:creator>
  <cp:lastModifiedBy>Krisna Widhi Wijaya</cp:lastModifiedBy>
  <dcterms:created xsi:type="dcterms:W3CDTF">2026-10-01T03:08:36Z</dcterms:created>
  <dcterms:modified xsi:type="dcterms:W3CDTF">2026-10-01T04:50:00Z</dcterms:modified>
</cp:coreProperties>
</file>