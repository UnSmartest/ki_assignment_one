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NA\OneDrive\Desktop\UltimateLibrary\University\Semester_5\modelling and simulation\assignment\Activity6\"/>
    </mc:Choice>
  </mc:AlternateContent>
  <xr:revisionPtr revIDLastSave="0" documentId="13_ncr:1_{86E0CE4C-CBE3-4AC1-BF63-263D2167AE71}" xr6:coauthVersionLast="47" xr6:coauthVersionMax="47" xr10:uidLastSave="{00000000-0000-0000-0000-000000000000}"/>
  <bookViews>
    <workbookView xWindow="-108" yWindow="-108" windowWidth="23256" windowHeight="12456" xr2:uid="{17A2BDEB-7A8E-47AC-8DD7-661F506871C2}"/>
  </bookViews>
  <sheets>
    <sheet name="Sheet1" sheetId="1" r:id="rId1"/>
  </sheets>
  <definedNames>
    <definedName name="_xlchart.v1.0" hidden="1">Sheet1!$G$7:$G$46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2" i="1" l="1"/>
  <c r="J9" i="1"/>
  <c r="J8" i="1"/>
  <c r="J38" i="1" s="1"/>
  <c r="J7" i="1"/>
  <c r="J36" i="1" s="1"/>
  <c r="J11" i="1"/>
  <c r="J10" i="1"/>
  <c r="J37" i="1" l="1"/>
  <c r="V30" i="1" l="1"/>
  <c r="V31" i="1" s="1"/>
  <c r="N30" i="1"/>
  <c r="N31" i="1" s="1"/>
  <c r="O30" i="1"/>
  <c r="O31" i="1" s="1"/>
  <c r="P30" i="1"/>
  <c r="P31" i="1" s="1"/>
  <c r="R30" i="1"/>
  <c r="R31" i="1" s="1"/>
  <c r="S30" i="1"/>
  <c r="S31" i="1" s="1"/>
  <c r="T30" i="1"/>
  <c r="T31" i="1" s="1"/>
  <c r="U30" i="1"/>
  <c r="U31" i="1" s="1"/>
  <c r="M30" i="1"/>
  <c r="M31" i="1" s="1"/>
  <c r="Q30" i="1"/>
  <c r="Q31" i="1" s="1"/>
</calcChain>
</file>

<file path=xl/sharedStrings.xml><?xml version="1.0" encoding="utf-8"?>
<sst xmlns="http://schemas.openxmlformats.org/spreadsheetml/2006/main" count="35" uniqueCount="33">
  <si>
    <t>Name</t>
  </si>
  <si>
    <t>Student ID</t>
  </si>
  <si>
    <t>Bisma</t>
  </si>
  <si>
    <t>Dewey</t>
  </si>
  <si>
    <t>Krisna</t>
  </si>
  <si>
    <t>Presence</t>
  </si>
  <si>
    <t>PRESENT</t>
  </si>
  <si>
    <t>Duration (minutes)</t>
  </si>
  <si>
    <t>Number</t>
  </si>
  <si>
    <t>MEAN</t>
  </si>
  <si>
    <t>VARIANCE</t>
  </si>
  <si>
    <t>STD VARIATION</t>
  </si>
  <si>
    <t>MIN</t>
  </si>
  <si>
    <t>MAX</t>
  </si>
  <si>
    <t>ALPHA</t>
  </si>
  <si>
    <t>THETA</t>
  </si>
  <si>
    <t>Basic Statistics</t>
  </si>
  <si>
    <t>Gamma Statistics</t>
  </si>
  <si>
    <t>Estimator (1/mean)</t>
  </si>
  <si>
    <t>Bin Ranges</t>
  </si>
  <si>
    <t>Observed</t>
  </si>
  <si>
    <t>Expected</t>
  </si>
  <si>
    <t>Bin</t>
  </si>
  <si>
    <t>For step 1, the data collection, is merely copy-pasting the values you've provided into this Excel file.</t>
  </si>
  <si>
    <t>====&gt;</t>
  </si>
  <si>
    <t>For step 2, the identification of the distribution, we've plotted the values (G7:G46) into a histogram of 10 bins. 10 bins because the population is 40. Any less or more would result in a difficult shape of a graph.</t>
  </si>
  <si>
    <t>==========&gt;</t>
  </si>
  <si>
    <t>For step 3, the estimator, the Gamma function uses a 1/MEAN. However, we will also need alpha and theta values for the calculation of expected values.</t>
  </si>
  <si>
    <t>Chi-square Value</t>
  </si>
  <si>
    <t>Partial Chi-square Value</t>
  </si>
  <si>
    <t>For step 4, the goodness-of-fit test, we utilize the chi-square test. Before we proceed, we declare that our null hypothesis is that the histogram demonstrates a gamma distribution with an estimator of 1/28,13 with a confidence of 95% (or at a significance value of 5%). At a degree of freedom of 9, if our chi-square value is greater than 16,919, we reject our null hypothesis.</t>
  </si>
  <si>
    <t>Conclusion</t>
  </si>
  <si>
    <t>Our chi-square value (4,54) is less than the critical value (16,919). As such, we cannot reject our null hypothesis and proceed with the assumption that the duration of our CI/CD pipeline is a gamma function with an estimator of (1/28,13).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</si>
</sst>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0" xfId="0" quotePrefix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Duration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Duration Distribution</a:t>
          </a:r>
        </a:p>
      </cx:txPr>
    </cx:title>
    <cx:plotArea>
      <cx:plotAreaRegion>
        <cx:series layoutId="clusteredColumn" uniqueId="{00000000-B222-493A-9EFF-B03216D8906E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6196</xdr:colOff>
      <xdr:row>4</xdr:row>
      <xdr:rowOff>184336</xdr:rowOff>
    </xdr:from>
    <xdr:to>
      <xdr:col>21</xdr:col>
      <xdr:colOff>1054</xdr:colOff>
      <xdr:row>19</xdr:row>
      <xdr:rowOff>184336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6BE5EB7-3933-0779-220B-5F063DAA11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6684" y="927751"/>
              <a:ext cx="6066077" cy="27878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BF5A-48CC-4E04-A563-E720BEF061D9}">
  <dimension ref="A1:W46"/>
  <sheetViews>
    <sheetView tabSelected="1" zoomScale="53" zoomScaleNormal="100" workbookViewId="0">
      <selection activeCell="Q41" sqref="Q41"/>
    </sheetView>
  </sheetViews>
  <sheetFormatPr defaultRowHeight="14.4" x14ac:dyDescent="0.3"/>
  <cols>
    <col min="1" max="1" width="17.33203125" customWidth="1"/>
    <col min="2" max="2" width="9.44140625" customWidth="1"/>
    <col min="3" max="3" width="11.88671875" customWidth="1"/>
    <col min="6" max="6" width="8.88671875" style="1"/>
    <col min="7" max="7" width="17.88671875" style="1" customWidth="1"/>
    <col min="9" max="9" width="23.21875" style="1" customWidth="1"/>
    <col min="10" max="10" width="15" style="1" customWidth="1"/>
    <col min="12" max="12" width="27" customWidth="1"/>
  </cols>
  <sheetData>
    <row r="1" spans="1:10" x14ac:dyDescent="0.3">
      <c r="A1" s="2" t="s">
        <v>1</v>
      </c>
      <c r="B1" s="2" t="s">
        <v>0</v>
      </c>
      <c r="C1" s="2" t="s">
        <v>5</v>
      </c>
    </row>
    <row r="2" spans="1:10" x14ac:dyDescent="0.3">
      <c r="A2" s="2">
        <v>5025241012</v>
      </c>
      <c r="B2" s="2" t="s">
        <v>3</v>
      </c>
      <c r="C2" s="2" t="s">
        <v>6</v>
      </c>
    </row>
    <row r="3" spans="1:10" x14ac:dyDescent="0.3">
      <c r="A3" s="2">
        <v>5025241075</v>
      </c>
      <c r="B3" s="2" t="s">
        <v>2</v>
      </c>
      <c r="C3" s="2" t="s">
        <v>6</v>
      </c>
    </row>
    <row r="4" spans="1:10" x14ac:dyDescent="0.3">
      <c r="A4" s="2">
        <v>5025241166</v>
      </c>
      <c r="B4" s="2" t="s">
        <v>4</v>
      </c>
      <c r="C4" s="2" t="s">
        <v>6</v>
      </c>
    </row>
    <row r="6" spans="1:10" x14ac:dyDescent="0.3">
      <c r="F6" s="8" t="s">
        <v>8</v>
      </c>
      <c r="G6" s="8" t="s">
        <v>7</v>
      </c>
      <c r="I6" s="7" t="s">
        <v>16</v>
      </c>
      <c r="J6" s="7"/>
    </row>
    <row r="7" spans="1:10" ht="14.4" customHeight="1" x14ac:dyDescent="0.3">
      <c r="C7" s="10" t="s">
        <v>23</v>
      </c>
      <c r="D7" s="10"/>
      <c r="E7" s="4" t="s">
        <v>24</v>
      </c>
      <c r="F7" s="2">
        <v>1</v>
      </c>
      <c r="G7" s="2">
        <v>1.2</v>
      </c>
      <c r="I7" s="2" t="s">
        <v>9</v>
      </c>
      <c r="J7" s="2">
        <f>ROUND(AVERAGE(G7:G46),2)</f>
        <v>28.13</v>
      </c>
    </row>
    <row r="8" spans="1:10" x14ac:dyDescent="0.3">
      <c r="C8" s="10"/>
      <c r="D8" s="10"/>
      <c r="F8" s="2">
        <v>2</v>
      </c>
      <c r="G8" s="2">
        <v>5.2</v>
      </c>
      <c r="I8" s="2" t="s">
        <v>10</v>
      </c>
      <c r="J8" s="2">
        <f>ROUND(VAR(G7:G46),2)</f>
        <v>716.38</v>
      </c>
    </row>
    <row r="9" spans="1:10" x14ac:dyDescent="0.3">
      <c r="C9" s="10"/>
      <c r="D9" s="10"/>
      <c r="F9" s="2">
        <v>3</v>
      </c>
      <c r="G9" s="2">
        <v>0.7</v>
      </c>
      <c r="I9" s="2" t="s">
        <v>11</v>
      </c>
      <c r="J9" s="2">
        <f>ROUND(_xlfn.STDEV.P(G7:G46),2)</f>
        <v>26.43</v>
      </c>
    </row>
    <row r="10" spans="1:10" x14ac:dyDescent="0.3">
      <c r="C10" s="10"/>
      <c r="D10" s="10"/>
      <c r="F10" s="2">
        <v>4</v>
      </c>
      <c r="G10" s="2">
        <v>6.6</v>
      </c>
      <c r="I10" s="2" t="s">
        <v>12</v>
      </c>
      <c r="J10" s="2">
        <f>MIN(G7:G46)</f>
        <v>0.7</v>
      </c>
    </row>
    <row r="11" spans="1:10" x14ac:dyDescent="0.3">
      <c r="C11" s="10"/>
      <c r="D11" s="10"/>
      <c r="F11" s="2">
        <v>5</v>
      </c>
      <c r="G11" s="2">
        <v>2.2000000000000002</v>
      </c>
      <c r="I11" s="2" t="s">
        <v>13</v>
      </c>
      <c r="J11" s="2">
        <f>MAX(G7:G46)</f>
        <v>129.30000000000001</v>
      </c>
    </row>
    <row r="12" spans="1:10" x14ac:dyDescent="0.3">
      <c r="C12" s="10"/>
      <c r="D12" s="10"/>
      <c r="F12" s="2">
        <v>6</v>
      </c>
      <c r="G12" s="2">
        <v>6.7</v>
      </c>
    </row>
    <row r="13" spans="1:10" x14ac:dyDescent="0.3">
      <c r="C13" s="10"/>
      <c r="D13" s="10"/>
      <c r="F13" s="2">
        <v>7</v>
      </c>
      <c r="G13" s="2">
        <v>33.200000000000003</v>
      </c>
      <c r="I13" s="10" t="s">
        <v>25</v>
      </c>
      <c r="J13" s="4" t="s">
        <v>26</v>
      </c>
    </row>
    <row r="14" spans="1:10" x14ac:dyDescent="0.3">
      <c r="C14" s="10"/>
      <c r="D14" s="10"/>
      <c r="F14" s="2">
        <v>8</v>
      </c>
      <c r="G14" s="2">
        <v>18.2</v>
      </c>
      <c r="I14" s="10"/>
    </row>
    <row r="15" spans="1:10" x14ac:dyDescent="0.3">
      <c r="C15" s="10"/>
      <c r="D15" s="10"/>
      <c r="F15" s="2">
        <v>9</v>
      </c>
      <c r="G15" s="2">
        <v>20.2</v>
      </c>
      <c r="I15" s="10"/>
    </row>
    <row r="16" spans="1:10" x14ac:dyDescent="0.3">
      <c r="C16" s="10"/>
      <c r="D16" s="10"/>
      <c r="F16" s="2">
        <v>10</v>
      </c>
      <c r="G16" s="2">
        <v>4.7</v>
      </c>
      <c r="I16" s="10"/>
    </row>
    <row r="17" spans="3:23" x14ac:dyDescent="0.3">
      <c r="C17" s="10"/>
      <c r="D17" s="10"/>
      <c r="F17" s="2">
        <v>11</v>
      </c>
      <c r="G17" s="2">
        <v>8.1</v>
      </c>
      <c r="I17" s="10"/>
    </row>
    <row r="18" spans="3:23" ht="14.4" customHeight="1" x14ac:dyDescent="0.3">
      <c r="C18" s="10"/>
      <c r="D18" s="10"/>
      <c r="F18" s="2">
        <v>12</v>
      </c>
      <c r="G18" s="2">
        <v>5</v>
      </c>
      <c r="I18" s="10"/>
      <c r="J18" s="6"/>
    </row>
    <row r="19" spans="3:23" x14ac:dyDescent="0.3">
      <c r="F19" s="2">
        <v>13</v>
      </c>
      <c r="G19" s="2">
        <v>5.3</v>
      </c>
      <c r="I19" s="10"/>
    </row>
    <row r="20" spans="3:23" x14ac:dyDescent="0.3">
      <c r="F20" s="2">
        <v>14</v>
      </c>
      <c r="G20" s="2">
        <v>19.5</v>
      </c>
      <c r="I20" s="10"/>
    </row>
    <row r="21" spans="3:23" x14ac:dyDescent="0.3">
      <c r="F21" s="2">
        <v>15</v>
      </c>
      <c r="G21" s="2">
        <v>18.399999999999999</v>
      </c>
      <c r="I21" s="10"/>
    </row>
    <row r="22" spans="3:23" ht="14.4" customHeight="1" x14ac:dyDescent="0.3">
      <c r="F22" s="2">
        <v>16</v>
      </c>
      <c r="G22" s="2">
        <v>10.9</v>
      </c>
      <c r="I22" s="10"/>
      <c r="L22" s="10" t="s">
        <v>30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3:23" x14ac:dyDescent="0.3">
      <c r="F23" s="2">
        <v>17</v>
      </c>
      <c r="G23" s="2">
        <v>9.1999999999999993</v>
      </c>
      <c r="I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3:23" x14ac:dyDescent="0.3">
      <c r="F24" s="2">
        <v>18</v>
      </c>
      <c r="G24" s="2">
        <v>10.5</v>
      </c>
      <c r="I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3:23" x14ac:dyDescent="0.3">
      <c r="F25" s="2">
        <v>19</v>
      </c>
      <c r="G25" s="2">
        <v>19.3</v>
      </c>
      <c r="I25" s="5"/>
    </row>
    <row r="26" spans="3:23" x14ac:dyDescent="0.3">
      <c r="F26" s="2">
        <v>20</v>
      </c>
      <c r="G26" s="2">
        <v>11</v>
      </c>
      <c r="I26" s="10" t="s">
        <v>27</v>
      </c>
      <c r="J26" s="10"/>
      <c r="L26" s="8" t="s">
        <v>19</v>
      </c>
      <c r="M26" s="2">
        <v>0.7</v>
      </c>
      <c r="N26" s="2">
        <v>13.56</v>
      </c>
      <c r="O26" s="2">
        <v>26.42</v>
      </c>
      <c r="P26" s="2">
        <v>39.28</v>
      </c>
      <c r="Q26" s="2">
        <v>52.14</v>
      </c>
      <c r="R26" s="2">
        <v>65</v>
      </c>
      <c r="S26" s="2">
        <v>77.86</v>
      </c>
      <c r="T26" s="2">
        <v>90.72</v>
      </c>
      <c r="U26" s="2">
        <v>103.58</v>
      </c>
      <c r="V26" s="2">
        <v>116.44</v>
      </c>
      <c r="W26" s="2">
        <v>129.30000000000001</v>
      </c>
    </row>
    <row r="27" spans="3:23" x14ac:dyDescent="0.3">
      <c r="F27" s="2">
        <v>21</v>
      </c>
      <c r="G27" s="2">
        <v>12.9</v>
      </c>
      <c r="I27" s="10"/>
      <c r="J27" s="10"/>
    </row>
    <row r="28" spans="3:23" x14ac:dyDescent="0.3">
      <c r="F28" s="2">
        <v>22</v>
      </c>
      <c r="G28" s="2">
        <v>21.1</v>
      </c>
      <c r="I28" s="10"/>
      <c r="J28" s="10"/>
      <c r="L28" s="8" t="s">
        <v>22</v>
      </c>
      <c r="M28" s="2">
        <v>1</v>
      </c>
      <c r="N28" s="2">
        <v>2</v>
      </c>
      <c r="O28" s="2">
        <v>3</v>
      </c>
      <c r="P28" s="2">
        <v>4</v>
      </c>
      <c r="Q28" s="2">
        <v>5</v>
      </c>
      <c r="R28" s="2">
        <v>6</v>
      </c>
      <c r="S28" s="2">
        <v>7</v>
      </c>
      <c r="T28" s="2">
        <v>8</v>
      </c>
      <c r="U28" s="2">
        <v>9</v>
      </c>
      <c r="V28" s="2">
        <v>10</v>
      </c>
    </row>
    <row r="29" spans="3:23" x14ac:dyDescent="0.3">
      <c r="F29" s="2">
        <v>23</v>
      </c>
      <c r="G29" s="2">
        <v>21.6</v>
      </c>
      <c r="I29" s="10"/>
      <c r="J29" s="10"/>
      <c r="L29" s="8" t="s">
        <v>20</v>
      </c>
      <c r="M29" s="2">
        <v>15</v>
      </c>
      <c r="N29" s="2">
        <v>9</v>
      </c>
      <c r="O29" s="2">
        <v>6</v>
      </c>
      <c r="P29" s="2">
        <v>4</v>
      </c>
      <c r="Q29" s="2">
        <v>3</v>
      </c>
      <c r="R29" s="2">
        <v>1</v>
      </c>
      <c r="S29" s="2">
        <v>1</v>
      </c>
      <c r="T29" s="2">
        <v>0</v>
      </c>
      <c r="U29" s="2">
        <v>0</v>
      </c>
      <c r="V29" s="2">
        <v>1</v>
      </c>
    </row>
    <row r="30" spans="3:23" x14ac:dyDescent="0.3">
      <c r="F30" s="2">
        <v>24</v>
      </c>
      <c r="G30" s="2">
        <v>84.2</v>
      </c>
      <c r="I30" s="10"/>
      <c r="J30" s="10"/>
      <c r="L30" s="8" t="s">
        <v>21</v>
      </c>
      <c r="M30" s="2">
        <f>ROUND((_xlfn.GAMMA.DIST(N$26,$J$37,$J$38,TRUE) - _xlfn.GAMMA.DIST(M$26,$J$37,$J$38,TRUE))*40,2)</f>
        <v>13.83</v>
      </c>
      <c r="N30" s="2">
        <f>ROUND((_xlfn.GAMMA.DIST(O$26,$J$37,$J$38,TRUE) - _xlfn.GAMMA.DIST(N$26,$J$37,$J$38,TRUE))*40,2)</f>
        <v>9.52</v>
      </c>
      <c r="O30" s="2">
        <f>ROUND((_xlfn.GAMMA.DIST(P$26,$J$37,$J$38,TRUE) - _xlfn.GAMMA.DIST(O$26,$J$37,$J$38,TRUE))*40,2)</f>
        <v>6.06</v>
      </c>
      <c r="P30" s="2">
        <f>ROUND((_xlfn.GAMMA.DIST(Q$26,$J$37,$J$38,TRUE) - _xlfn.GAMMA.DIST(P$26,$J$37,$J$38,TRUE))*40,2)</f>
        <v>3.79</v>
      </c>
      <c r="Q30" s="2">
        <f>ROUND((_xlfn.GAMMA.DIST(R$26,$J$37,$J$38,TRUE) - _xlfn.GAMMA.DIST(Q$26,$J$37,$J$38,TRUE))*40,2)</f>
        <v>2.35</v>
      </c>
      <c r="R30" s="2">
        <f>ROUND((_xlfn.GAMMA.DIST(S$26,$J$37,$J$38,TRUE) - _xlfn.GAMMA.DIST(R$26,$J$37,$J$38,TRUE))*40,2)</f>
        <v>1.45</v>
      </c>
      <c r="S30" s="2">
        <f>ROUND((_xlfn.GAMMA.DIST(T$26,$J$37,$J$38,TRUE) - _xlfn.GAMMA.DIST(S$26,$J$37,$J$38,TRUE))*40,2)</f>
        <v>0.89</v>
      </c>
      <c r="T30" s="2">
        <f>ROUND((_xlfn.GAMMA.DIST(U$26,$J$37,$J$38,TRUE) - _xlfn.GAMMA.DIST(T$26,$J$37,$J$38,TRUE))*40,2)</f>
        <v>0.54</v>
      </c>
      <c r="U30" s="2">
        <f>ROUND((_xlfn.GAMMA.DIST(V$26,$J$37,$J$38,TRUE) - _xlfn.GAMMA.DIST(U$26,$J$37,$J$38,TRUE))*40,2)</f>
        <v>0.33</v>
      </c>
      <c r="V30" s="2">
        <f>ROUND((_xlfn.GAMMA.DIST(W$26,$J$37,$J$38,TRUE)-_xlfn.GAMMA.DIST(V$26,$J$37,$J$38,TRUE))*40,2)</f>
        <v>0.2</v>
      </c>
    </row>
    <row r="31" spans="3:23" x14ac:dyDescent="0.3">
      <c r="F31" s="2">
        <v>25</v>
      </c>
      <c r="G31" s="2">
        <v>129.30000000000001</v>
      </c>
      <c r="I31" s="10"/>
      <c r="J31" s="10"/>
      <c r="L31" s="8" t="s">
        <v>29</v>
      </c>
      <c r="M31" s="2">
        <f>ROUND(POWER(M$29-M$30,2)/M$30,2)</f>
        <v>0.1</v>
      </c>
      <c r="N31" s="2">
        <f>ROUND(POWER(N$29-N$30,2)/N$30,2)</f>
        <v>0.03</v>
      </c>
      <c r="O31" s="2">
        <f>ROUND(POWER(O$29-O$30,2)/O$30,2)</f>
        <v>0</v>
      </c>
      <c r="P31" s="2">
        <f>ROUND(POWER(P$29-P$30,2)/P$30,2)</f>
        <v>0.01</v>
      </c>
      <c r="Q31" s="2">
        <f>ROUND(POWER(Q$29-Q$30,2)/Q$30,2)</f>
        <v>0.18</v>
      </c>
      <c r="R31" s="2">
        <f>ROUND(POWER(R$29-R$30,2)/R$30,2)</f>
        <v>0.14000000000000001</v>
      </c>
      <c r="S31" s="2">
        <f>ROUND(POWER(S$29-S$30,2)/S$30,2)</f>
        <v>0.01</v>
      </c>
      <c r="T31" s="2">
        <f>ROUND(POWER(T$29-T$30,2)/T$30,2)</f>
        <v>0.54</v>
      </c>
      <c r="U31" s="2">
        <f>ROUND(POWER(U$29-U$30,2)/U$30,2)</f>
        <v>0.33</v>
      </c>
      <c r="V31" s="2">
        <f>ROUND(POWER(V$29-V$30,2)/V$30,2)</f>
        <v>3.2</v>
      </c>
      <c r="W31" s="1"/>
    </row>
    <row r="32" spans="3:23" x14ac:dyDescent="0.3">
      <c r="F32" s="2">
        <v>26</v>
      </c>
      <c r="G32" s="2">
        <v>32</v>
      </c>
      <c r="I32" s="10"/>
      <c r="J32" s="10"/>
      <c r="L32" s="9" t="s">
        <v>28</v>
      </c>
      <c r="M32" s="3">
        <f>SUM(M31:V31)</f>
        <v>4.54</v>
      </c>
      <c r="N32" s="3"/>
      <c r="O32" s="3"/>
      <c r="P32" s="3"/>
      <c r="Q32" s="3"/>
      <c r="R32" s="3"/>
      <c r="S32" s="3"/>
      <c r="T32" s="3"/>
      <c r="U32" s="3"/>
      <c r="V32" s="3"/>
    </row>
    <row r="33" spans="6:22" x14ac:dyDescent="0.3">
      <c r="F33" s="2">
        <v>27</v>
      </c>
      <c r="G33" s="2">
        <v>32.6</v>
      </c>
      <c r="I33" s="10"/>
      <c r="J33" s="10"/>
    </row>
    <row r="34" spans="6:22" x14ac:dyDescent="0.3">
      <c r="F34" s="2">
        <v>28</v>
      </c>
      <c r="G34" s="2">
        <v>44.3</v>
      </c>
      <c r="I34" s="5"/>
      <c r="J34" s="5"/>
    </row>
    <row r="35" spans="6:22" x14ac:dyDescent="0.3">
      <c r="F35" s="2">
        <v>29</v>
      </c>
      <c r="G35" s="2">
        <v>44.9</v>
      </c>
      <c r="I35" s="7" t="s">
        <v>17</v>
      </c>
      <c r="J35" s="7"/>
      <c r="L35" s="11" t="s">
        <v>31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6:22" x14ac:dyDescent="0.3">
      <c r="F36" s="2">
        <v>30</v>
      </c>
      <c r="G36" s="2">
        <v>50.1</v>
      </c>
      <c r="I36" s="2" t="s">
        <v>18</v>
      </c>
      <c r="J36" s="2">
        <f>1/J7</f>
        <v>3.5549235691432639E-2</v>
      </c>
      <c r="L36" s="10" t="s">
        <v>32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6:22" x14ac:dyDescent="0.3">
      <c r="F37" s="2">
        <v>31</v>
      </c>
      <c r="G37" s="2">
        <v>61.1</v>
      </c>
      <c r="I37" s="2" t="s">
        <v>14</v>
      </c>
      <c r="J37" s="2">
        <f>POWER(J7,2)/J8</f>
        <v>1.1045770401183728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6:22" x14ac:dyDescent="0.3">
      <c r="F38" s="2">
        <v>32</v>
      </c>
      <c r="G38" s="2">
        <v>63.9</v>
      </c>
      <c r="I38" s="2" t="s">
        <v>15</v>
      </c>
      <c r="J38" s="2">
        <f>J8/J7</f>
        <v>25.466761464628512</v>
      </c>
    </row>
    <row r="39" spans="6:22" x14ac:dyDescent="0.3">
      <c r="F39" s="2">
        <v>33</v>
      </c>
      <c r="G39" s="2">
        <v>76.400000000000006</v>
      </c>
    </row>
    <row r="40" spans="6:22" x14ac:dyDescent="0.3">
      <c r="F40" s="2">
        <v>34</v>
      </c>
      <c r="G40" s="2">
        <v>18.2</v>
      </c>
    </row>
    <row r="41" spans="6:22" x14ac:dyDescent="0.3">
      <c r="F41" s="2">
        <v>35</v>
      </c>
      <c r="G41" s="2">
        <v>28.9</v>
      </c>
    </row>
    <row r="42" spans="6:22" x14ac:dyDescent="0.3">
      <c r="F42" s="2">
        <v>36</v>
      </c>
      <c r="G42" s="2">
        <v>23.1</v>
      </c>
    </row>
    <row r="43" spans="6:22" x14ac:dyDescent="0.3">
      <c r="F43" s="2">
        <v>37</v>
      </c>
      <c r="G43" s="2">
        <v>28.9</v>
      </c>
    </row>
    <row r="44" spans="6:22" x14ac:dyDescent="0.3">
      <c r="F44" s="2">
        <v>38</v>
      </c>
      <c r="G44" s="2">
        <v>41.2</v>
      </c>
    </row>
    <row r="45" spans="6:22" x14ac:dyDescent="0.3">
      <c r="F45" s="2">
        <v>39</v>
      </c>
      <c r="G45" s="2">
        <v>38.5</v>
      </c>
    </row>
    <row r="46" spans="6:22" x14ac:dyDescent="0.3">
      <c r="F46" s="2">
        <v>40</v>
      </c>
      <c r="G46" s="2">
        <v>56</v>
      </c>
    </row>
  </sheetData>
  <mergeCells count="9">
    <mergeCell ref="L36:V37"/>
    <mergeCell ref="I26:J33"/>
    <mergeCell ref="I35:J35"/>
    <mergeCell ref="M32:V32"/>
    <mergeCell ref="L22:W24"/>
    <mergeCell ref="L35:V35"/>
    <mergeCell ref="I6:J6"/>
    <mergeCell ref="C7:D18"/>
    <mergeCell ref="I13:I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Krisna Widhi Wijaya</dc:creator>
  <cp:lastModifiedBy>Krisna Widhi Wijaya</cp:lastModifiedBy>
  <dcterms:created xsi:type="dcterms:W3CDTF">2026-10-08T00:04:25Z</dcterms:created>
  <dcterms:modified xsi:type="dcterms:W3CDTF">2026-10-08T03:49:19Z</dcterms:modified>
</cp:coreProperties>
</file>